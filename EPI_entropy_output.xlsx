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EPI_score" sheetId="1" r:id="rId1"/>
    <sheet name="Weights" sheetId="2" r:id="rId2"/>
    <sheet name="Normalized_Z" sheetId="3" r:id="rId3"/>
  </sheets>
  <definedNames>
    <definedName name="_xlnm._FilterDatabase" localSheetId="0" hidden="1">EPI_score!$A$1:$P$601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<sst xmlns="http://schemas.openxmlformats.org/spreadsheetml/2006/main" count="1263" uniqueCount="60">
  <si>
    <t>AREA</t>
  </si>
  <si>
    <t>YEAR</t>
  </si>
  <si>
    <t>EPI_entropy</t>
  </si>
  <si>
    <t>人均地区生产总值(元/人)</t>
  </si>
  <si>
    <t>居民消费(亿元)</t>
  </si>
  <si>
    <t>第二产业占比</t>
  </si>
  <si>
    <t>能源消费强度</t>
  </si>
  <si>
    <t>能源消费比</t>
  </si>
  <si>
    <t>发电量(亿千瓦时)</t>
  </si>
  <si>
    <t>年末常住人口(万人)</t>
  </si>
  <si>
    <t>人均发电量</t>
  </si>
  <si>
    <t>人口密度</t>
  </si>
  <si>
    <t>城镇人口占比</t>
  </si>
  <si>
    <t>森林覆盖率(%)</t>
  </si>
  <si>
    <t>地方财政环境保护支出(亿元)</t>
  </si>
  <si>
    <t>人均水资源量(立方米/人)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</si>
  <si>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</si>
  <si>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</si>
  <si>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</si>
  <si>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</si>
  <si>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</si>
  <si>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</si>
  <si>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</si>
  <si>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</si>
  <si>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</si>
  <si>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</si>
  <si>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</si>
  <si>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</si>
  <si>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</si>
  <si>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</si>
  <si>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</si>
  <si>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</si>
  <si>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</si>
  <si>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</si>
  <si>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</si>
  <si>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</si>
  <si>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</si>
  <si>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</si>
  <si>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</si>
  <si>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</si>
  <si>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</si>
  <si>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</si>
  <si>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</si>
  <si>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</si>
  <si>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</si>
  <si>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</si>
  <si>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indicator</t>
  </si>
  <si>
    <t>weight</t>
  </si>
  <si>
    <t>人均用电量（千瓦时/人）</t>
  </si>
  <si>
    <t>人均天然气消费量（立方米/人）</t>
  </si>
  <si>
    <t>城市天然气渗透率（%）</t>
  </si>
  <si>
    <t>城市人均天然气供应量（立方米）</t>
  </si>
  <si>
    <t>非火力发电占比</t>
  </si>
  <si>
    <t>国有经济电力、蒸汽、热水生产和供应业固定资产投资（亿元）</t>
  </si>
  <si>
    <t>城镇居民平均每百户电冰箱拥有量（台）</t>
  </si>
  <si>
    <t>城镇居民平均每百户空调拥有量（台）</t>
  </si>
  <si>
    <t>农村居民平均每百户抽油烟机拥有量（台）</t>
  </si>
  <si>
    <t>农村太阳能热水器人均覆盖面积（平方米）</t>
  </si>
  <si>
    <t>居民生活二氧化硫人均排放量（吨）</t>
  </si>
  <si>
    <t>西藏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</si>
</sst>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048575"/>
  <sheetViews>
    <sheetView tabSelected="1" zoomScale="85" zoomScaleNormal="85" topLeftCell="A518" workbookViewId="0">
      <selection activeCell="A502" sqref="$A502:$XFD502"/>
    </sheetView>
  </sheetViews>
  <sheetFormatPr defaultColWidth="9" defaultRowHeight="13.5"/>
  <cols>
    <col min="3" max="3" width="12.625"/>
    <col min="4" max="5" width="9" style="2"/>
    <col min="6" max="8" width="12.625" style="2"/>
    <col min="9" max="10" width="9" style="2"/>
    <col min="11" max="11" width="12.625"/>
    <col min="12" max="12" width="12.625" style="2"/>
    <col min="13" max="16" width="9" style="2"/>
  </cols>
  <sheetData>
    <row r="1" ht="14.25" spans="1:16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5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>
        <v>2003</v>
      </c>
      <c r="C2">
        <v>0.272308433849101</v>
      </c>
      <c r="D2" s="6">
        <v>36583</v>
      </c>
      <c r="E2" s="6">
        <v>1729.7</v>
      </c>
      <c r="F2" s="2">
        <v>0.276503645200486</v>
      </c>
      <c r="G2" s="2">
        <v>0.882480255164034</v>
      </c>
      <c r="H2" s="2">
        <v>0.0247618</v>
      </c>
      <c r="I2" s="6">
        <v>192.16</v>
      </c>
      <c r="J2" s="6">
        <v>1456</v>
      </c>
      <c r="K2">
        <f>I2/J2</f>
        <v>0.131978021978022</v>
      </c>
      <c r="L2" s="2">
        <v>888.0487805</v>
      </c>
      <c r="M2" s="2">
        <v>79.07</v>
      </c>
      <c r="N2" s="6">
        <v>31.7</v>
      </c>
      <c r="O2" s="6">
        <v>17.24</v>
      </c>
      <c r="P2" s="6">
        <v>144</v>
      </c>
    </row>
    <row r="3" spans="1:16">
      <c r="A3" t="s">
        <v>16</v>
      </c>
      <c r="B3">
        <v>2004</v>
      </c>
      <c r="C3">
        <v>0.251006821633249</v>
      </c>
      <c r="D3" s="6">
        <v>42402</v>
      </c>
      <c r="E3" s="6">
        <v>1979.5</v>
      </c>
      <c r="F3" s="2">
        <v>0.283678528588565</v>
      </c>
      <c r="G3" s="2">
        <v>0.822007197121152</v>
      </c>
      <c r="H3" s="2">
        <v>0.02359162</v>
      </c>
      <c r="I3" s="6">
        <v>203.89</v>
      </c>
      <c r="J3" s="6">
        <v>1493</v>
      </c>
      <c r="K3">
        <f t="shared" ref="K3:K66" si="0">I3/J3</f>
        <v>0.136563965170797</v>
      </c>
      <c r="L3" s="2">
        <v>910.1829268</v>
      </c>
      <c r="M3" s="2">
        <v>79.52</v>
      </c>
      <c r="N3" s="6">
        <v>31.7</v>
      </c>
      <c r="O3" s="6">
        <v>19.04</v>
      </c>
      <c r="P3" s="6">
        <v>143</v>
      </c>
    </row>
    <row r="4" spans="1:16">
      <c r="A4" t="s">
        <v>16</v>
      </c>
      <c r="B4">
        <v>2005</v>
      </c>
      <c r="C4">
        <v>0.266456751548398</v>
      </c>
      <c r="D4" s="6">
        <v>47182</v>
      </c>
      <c r="E4" s="6">
        <v>2221.8</v>
      </c>
      <c r="F4" s="2">
        <v>0.266776693054351</v>
      </c>
      <c r="G4" s="2">
        <v>0.772315309519147</v>
      </c>
      <c r="H4" s="2">
        <v>0.02304506</v>
      </c>
      <c r="I4" s="6">
        <v>213.35</v>
      </c>
      <c r="J4" s="6">
        <v>1538</v>
      </c>
      <c r="K4">
        <f t="shared" si="0"/>
        <v>0.13871911573472</v>
      </c>
      <c r="L4" s="2">
        <v>937.804878</v>
      </c>
      <c r="M4" s="2">
        <v>83.62</v>
      </c>
      <c r="N4" s="6">
        <v>31.7</v>
      </c>
      <c r="O4" s="6">
        <v>21.47</v>
      </c>
      <c r="P4" s="6">
        <v>151.2</v>
      </c>
    </row>
    <row r="5" spans="1:16">
      <c r="A5" t="s">
        <v>16</v>
      </c>
      <c r="B5">
        <v>2006</v>
      </c>
      <c r="C5">
        <v>0.252639095222519</v>
      </c>
      <c r="D5" s="6">
        <v>53438</v>
      </c>
      <c r="E5" s="6">
        <v>2587.6</v>
      </c>
      <c r="F5" s="2">
        <v>0.247060927626088</v>
      </c>
      <c r="G5" s="2">
        <v>0.703959699534995</v>
      </c>
      <c r="H5" s="2">
        <v>0.02156855</v>
      </c>
      <c r="I5" s="6">
        <v>214.85</v>
      </c>
      <c r="J5" s="6">
        <v>1601</v>
      </c>
      <c r="K5">
        <f t="shared" si="0"/>
        <v>0.1341973766396</v>
      </c>
      <c r="L5" s="2">
        <v>976.2195122</v>
      </c>
      <c r="M5" s="2">
        <v>84.33</v>
      </c>
      <c r="N5" s="6">
        <v>31.7</v>
      </c>
      <c r="O5" s="6">
        <v>24.82</v>
      </c>
      <c r="P5" s="6">
        <v>141.5</v>
      </c>
    </row>
    <row r="6" spans="1:16">
      <c r="A6" t="s">
        <v>16</v>
      </c>
      <c r="B6">
        <v>2007</v>
      </c>
      <c r="C6">
        <v>0.226558537402591</v>
      </c>
      <c r="D6" s="6">
        <v>63629</v>
      </c>
      <c r="E6" s="6">
        <v>3040</v>
      </c>
      <c r="F6" s="2">
        <v>0.231490096398254</v>
      </c>
      <c r="G6" s="2">
        <v>0.602852620977411</v>
      </c>
      <c r="H6" s="2">
        <v>0.02049144</v>
      </c>
      <c r="I6" s="6">
        <v>228.08</v>
      </c>
      <c r="J6" s="6">
        <v>1676</v>
      </c>
      <c r="K6">
        <f t="shared" si="0"/>
        <v>0.136085918854415</v>
      </c>
      <c r="L6" s="2">
        <v>1021.95122</v>
      </c>
      <c r="M6" s="2">
        <v>84.5</v>
      </c>
      <c r="N6" s="6">
        <v>31.7</v>
      </c>
      <c r="O6" s="6">
        <v>29.58</v>
      </c>
      <c r="P6" s="6">
        <v>148.2</v>
      </c>
    </row>
    <row r="7" spans="1:16">
      <c r="A7" t="s">
        <v>16</v>
      </c>
      <c r="B7">
        <v>2008</v>
      </c>
      <c r="C7">
        <v>0.22481611987462</v>
      </c>
      <c r="D7" s="6">
        <v>68541</v>
      </c>
      <c r="E7" s="6">
        <v>3466.5</v>
      </c>
      <c r="F7" s="2">
        <v>0.213889664863584</v>
      </c>
      <c r="G7" s="2">
        <v>0.535591842954009</v>
      </c>
      <c r="H7" s="2">
        <v>0.02007918</v>
      </c>
      <c r="I7" s="6">
        <v>243.35</v>
      </c>
      <c r="J7" s="6">
        <v>1771</v>
      </c>
      <c r="K7">
        <f t="shared" si="0"/>
        <v>0.137408243929983</v>
      </c>
      <c r="L7" s="2">
        <v>1079.878049</v>
      </c>
      <c r="M7" s="2">
        <v>84.9</v>
      </c>
      <c r="N7" s="6">
        <v>31.7</v>
      </c>
      <c r="O7" s="6">
        <v>35.47</v>
      </c>
      <c r="P7" s="6">
        <v>205.5</v>
      </c>
    </row>
    <row r="8" spans="1:16">
      <c r="A8" t="s">
        <v>16</v>
      </c>
      <c r="B8">
        <v>2009</v>
      </c>
      <c r="C8">
        <v>0.209039093211966</v>
      </c>
      <c r="D8" s="6">
        <v>71059</v>
      </c>
      <c r="E8" s="6">
        <v>3998.2</v>
      </c>
      <c r="F8" s="2">
        <v>0.212109232689192</v>
      </c>
      <c r="G8" s="2">
        <v>0.50926679533986</v>
      </c>
      <c r="H8" s="2">
        <v>0.02019793</v>
      </c>
      <c r="I8" s="6">
        <v>242.65</v>
      </c>
      <c r="J8" s="6">
        <v>1860</v>
      </c>
      <c r="K8">
        <f t="shared" si="0"/>
        <v>0.130456989247312</v>
      </c>
      <c r="L8" s="2">
        <v>1134.146341</v>
      </c>
      <c r="M8" s="2">
        <v>85</v>
      </c>
      <c r="N8" s="6">
        <v>35.8</v>
      </c>
      <c r="O8" s="6">
        <v>54.05</v>
      </c>
      <c r="P8" s="6">
        <v>126.6</v>
      </c>
    </row>
    <row r="9" spans="1:16">
      <c r="A9" t="s">
        <v>16</v>
      </c>
      <c r="B9">
        <v>2010</v>
      </c>
      <c r="C9">
        <v>0.201781869845764</v>
      </c>
      <c r="D9" s="6">
        <v>78307</v>
      </c>
      <c r="E9" s="6">
        <v>4774</v>
      </c>
      <c r="F9" s="2">
        <v>0.216058540497193</v>
      </c>
      <c r="G9" s="2">
        <v>0.464718658112804</v>
      </c>
      <c r="H9" s="2">
        <v>0.01928388</v>
      </c>
      <c r="I9" s="6">
        <v>269</v>
      </c>
      <c r="J9" s="6">
        <v>1962</v>
      </c>
      <c r="K9">
        <f t="shared" si="0"/>
        <v>0.13710499490316</v>
      </c>
      <c r="L9" s="2">
        <v>1196.280488</v>
      </c>
      <c r="M9" s="2">
        <v>85.96</v>
      </c>
      <c r="N9" s="6">
        <v>35.8</v>
      </c>
      <c r="O9" s="6">
        <v>60.85</v>
      </c>
      <c r="P9" s="6">
        <v>124.2</v>
      </c>
    </row>
    <row r="10" spans="1:16">
      <c r="A10" t="s">
        <v>16</v>
      </c>
      <c r="B10">
        <v>2011</v>
      </c>
      <c r="C10">
        <v>0.180639565646104</v>
      </c>
      <c r="D10" s="6">
        <v>86246</v>
      </c>
      <c r="E10" s="6">
        <v>5525</v>
      </c>
      <c r="F10" s="2">
        <v>0.207303593037327</v>
      </c>
      <c r="G10" s="2">
        <v>0.406951037885135</v>
      </c>
      <c r="H10" s="2">
        <v>0.01747347</v>
      </c>
      <c r="I10" s="6">
        <v>262.98</v>
      </c>
      <c r="J10" s="6">
        <v>2024</v>
      </c>
      <c r="K10">
        <f t="shared" si="0"/>
        <v>0.129930830039526</v>
      </c>
      <c r="L10" s="2">
        <v>1234.02439</v>
      </c>
      <c r="M10" s="2">
        <v>86.2</v>
      </c>
      <c r="N10" s="6">
        <v>35.8</v>
      </c>
      <c r="O10" s="6">
        <v>94.51</v>
      </c>
      <c r="P10" s="6">
        <v>134.7</v>
      </c>
    </row>
    <row r="11" spans="1:16">
      <c r="A11" t="s">
        <v>16</v>
      </c>
      <c r="B11">
        <v>2012</v>
      </c>
      <c r="C11">
        <v>0.170885961442423</v>
      </c>
      <c r="D11" s="6">
        <v>92758</v>
      </c>
      <c r="E11" s="6">
        <v>6203.3</v>
      </c>
      <c r="F11" s="2">
        <v>0.202683879377861</v>
      </c>
      <c r="G11" s="2">
        <v>0.377282164764753</v>
      </c>
      <c r="H11" s="2">
        <v>0.01762971</v>
      </c>
      <c r="I11" s="6">
        <v>290.8</v>
      </c>
      <c r="J11" s="6">
        <v>2078</v>
      </c>
      <c r="K11">
        <f t="shared" si="0"/>
        <v>0.139942252165544</v>
      </c>
      <c r="L11" s="2">
        <v>1266.768293</v>
      </c>
      <c r="M11" s="2">
        <v>86.29</v>
      </c>
      <c r="N11" s="6">
        <v>35.8</v>
      </c>
      <c r="O11" s="6">
        <v>113.54</v>
      </c>
      <c r="P11" s="6">
        <v>193.2</v>
      </c>
    </row>
    <row r="12" spans="1:16">
      <c r="A12" t="s">
        <v>16</v>
      </c>
      <c r="B12">
        <v>2013</v>
      </c>
      <c r="C12">
        <v>0.175611536243912</v>
      </c>
      <c r="D12" s="6">
        <v>100569</v>
      </c>
      <c r="E12" s="6">
        <v>6974.3</v>
      </c>
      <c r="F12" s="2">
        <v>0.197226349209353</v>
      </c>
      <c r="G12" s="2">
        <v>0.31815127799911</v>
      </c>
      <c r="H12" s="2">
        <v>0.01709195</v>
      </c>
      <c r="I12" s="6">
        <v>336.01</v>
      </c>
      <c r="J12" s="6">
        <v>2125</v>
      </c>
      <c r="K12">
        <f t="shared" si="0"/>
        <v>0.158122352941176</v>
      </c>
      <c r="L12" s="2">
        <v>1295.97561</v>
      </c>
      <c r="M12" s="2">
        <v>86.39</v>
      </c>
      <c r="N12" s="6">
        <v>35.8</v>
      </c>
      <c r="O12" s="6">
        <v>138.17</v>
      </c>
      <c r="P12" s="6">
        <v>118.6</v>
      </c>
    </row>
    <row r="13" spans="1:16">
      <c r="A13" t="s">
        <v>16</v>
      </c>
      <c r="B13">
        <v>2014</v>
      </c>
      <c r="C13">
        <v>0.178107383988619</v>
      </c>
      <c r="D13" s="6">
        <v>106732</v>
      </c>
      <c r="E13" s="6">
        <v>7691.6</v>
      </c>
      <c r="F13" s="2">
        <v>0.193361249236675</v>
      </c>
      <c r="G13" s="2">
        <v>0.297968681845939</v>
      </c>
      <c r="H13" s="2">
        <v>0.0168423</v>
      </c>
      <c r="I13" s="6">
        <v>363.97</v>
      </c>
      <c r="J13" s="6">
        <v>2171</v>
      </c>
      <c r="K13">
        <f t="shared" si="0"/>
        <v>0.16765085214187</v>
      </c>
      <c r="L13" s="2">
        <v>1323.841463</v>
      </c>
      <c r="M13" s="2">
        <v>86.5</v>
      </c>
      <c r="N13" s="6">
        <v>43.8</v>
      </c>
      <c r="O13" s="6">
        <v>213.36</v>
      </c>
      <c r="P13" s="6">
        <v>95.1</v>
      </c>
    </row>
    <row r="14" spans="1:16">
      <c r="A14" t="s">
        <v>16</v>
      </c>
      <c r="B14">
        <v>2015</v>
      </c>
      <c r="C14">
        <v>0.189300319232494</v>
      </c>
      <c r="D14" s="6">
        <v>113692</v>
      </c>
      <c r="E14" s="6">
        <v>8471.4</v>
      </c>
      <c r="F14" s="2">
        <v>0.178368060179748</v>
      </c>
      <c r="G14" s="2">
        <v>0.274545887461611</v>
      </c>
      <c r="H14" s="2">
        <v>0.01673401</v>
      </c>
      <c r="I14" s="6">
        <v>421</v>
      </c>
      <c r="J14" s="6">
        <v>2188</v>
      </c>
      <c r="K14">
        <f t="shared" si="0"/>
        <v>0.192413162705667</v>
      </c>
      <c r="L14" s="2">
        <v>1334.329268</v>
      </c>
      <c r="M14" s="2">
        <v>86.71</v>
      </c>
      <c r="N14" s="6">
        <v>43.8</v>
      </c>
      <c r="O14" s="6">
        <v>303.26</v>
      </c>
      <c r="P14" s="6">
        <v>124</v>
      </c>
    </row>
    <row r="15" spans="1:16">
      <c r="A15" t="s">
        <v>16</v>
      </c>
      <c r="B15">
        <v>2016</v>
      </c>
      <c r="C15">
        <v>0.149986122108558</v>
      </c>
      <c r="D15" s="6">
        <v>123391</v>
      </c>
      <c r="E15" s="6">
        <v>10621.7</v>
      </c>
      <c r="F15" s="2">
        <v>0.172544117864592</v>
      </c>
      <c r="G15" s="2">
        <v>0.2557948611748</v>
      </c>
      <c r="H15" s="2">
        <v>0.01707649</v>
      </c>
      <c r="I15" s="6">
        <v>434.39</v>
      </c>
      <c r="J15" s="6">
        <v>2195</v>
      </c>
      <c r="K15">
        <f t="shared" si="0"/>
        <v>0.197899772209567</v>
      </c>
      <c r="L15" s="2">
        <v>1338.658537</v>
      </c>
      <c r="M15" s="2">
        <v>86.76</v>
      </c>
      <c r="N15" s="6">
        <v>43.8</v>
      </c>
      <c r="O15" s="6">
        <v>363.38</v>
      </c>
      <c r="P15" s="6">
        <v>161.6</v>
      </c>
    </row>
    <row r="16" spans="1:16">
      <c r="A16" t="s">
        <v>16</v>
      </c>
      <c r="B16">
        <v>2017</v>
      </c>
      <c r="C16">
        <v>0.143369183210977</v>
      </c>
      <c r="D16" s="6">
        <v>136172</v>
      </c>
      <c r="E16" s="6">
        <v>11491.5</v>
      </c>
      <c r="F16" s="2">
        <v>0.168972325402403</v>
      </c>
      <c r="G16" s="2">
        <v>0.237191714352642</v>
      </c>
      <c r="H16" s="2">
        <v>0.01691421</v>
      </c>
      <c r="I16" s="6">
        <v>388.4</v>
      </c>
      <c r="J16" s="6">
        <v>2194</v>
      </c>
      <c r="K16">
        <f t="shared" si="0"/>
        <v>0.177028258887876</v>
      </c>
      <c r="L16" s="2">
        <v>1338.04878</v>
      </c>
      <c r="M16" s="2">
        <v>86.93</v>
      </c>
      <c r="N16" s="6">
        <v>43.8</v>
      </c>
      <c r="O16" s="6">
        <v>458.44</v>
      </c>
      <c r="P16" s="6">
        <v>137.2</v>
      </c>
    </row>
    <row r="17" spans="1:16">
      <c r="A17" t="s">
        <v>16</v>
      </c>
      <c r="B17">
        <v>2018</v>
      </c>
      <c r="C17">
        <v>0.124726675899793</v>
      </c>
      <c r="D17" s="6">
        <v>150962</v>
      </c>
      <c r="E17" s="6">
        <v>13280</v>
      </c>
      <c r="F17" s="2">
        <v>0.165450371533861</v>
      </c>
      <c r="G17" s="2">
        <v>0.219597656014016</v>
      </c>
      <c r="H17" s="2">
        <v>0.01655579</v>
      </c>
      <c r="I17" s="6">
        <v>450.45</v>
      </c>
      <c r="J17" s="6">
        <v>2192</v>
      </c>
      <c r="K17">
        <f t="shared" si="0"/>
        <v>0.205497262773723</v>
      </c>
      <c r="L17" s="2">
        <v>1336.402439</v>
      </c>
      <c r="M17" s="2">
        <v>87.09</v>
      </c>
      <c r="N17" s="6">
        <v>43.8</v>
      </c>
      <c r="O17" s="6">
        <v>399.45</v>
      </c>
      <c r="P17" s="6">
        <v>164.2</v>
      </c>
    </row>
    <row r="18" spans="1:16">
      <c r="A18" t="s">
        <v>16</v>
      </c>
      <c r="B18">
        <v>2019</v>
      </c>
      <c r="C18">
        <v>0.120877621530136</v>
      </c>
      <c r="D18" s="6">
        <v>161776</v>
      </c>
      <c r="E18" s="6">
        <v>15342.3</v>
      </c>
      <c r="F18" s="2">
        <v>0.159892340549187</v>
      </c>
      <c r="G18" s="2">
        <v>0.20764506236405</v>
      </c>
      <c r="H18" s="2">
        <v>0.01609185</v>
      </c>
      <c r="I18" s="6">
        <v>464.09</v>
      </c>
      <c r="J18" s="6">
        <v>2190</v>
      </c>
      <c r="K18">
        <f t="shared" si="0"/>
        <v>0.211913242009132</v>
      </c>
      <c r="L18" s="2">
        <v>1335.426829</v>
      </c>
      <c r="M18" s="2">
        <v>87.35</v>
      </c>
      <c r="N18" s="6">
        <v>43.8</v>
      </c>
      <c r="O18" s="6">
        <v>308.81</v>
      </c>
      <c r="P18" s="6">
        <v>114.2</v>
      </c>
    </row>
    <row r="19" spans="1:16">
      <c r="A19" t="s">
        <v>16</v>
      </c>
      <c r="B19">
        <v>2020</v>
      </c>
      <c r="C19">
        <v>0.119089411952282</v>
      </c>
      <c r="D19" s="6">
        <v>164158</v>
      </c>
      <c r="E19" s="6">
        <v>17719.5</v>
      </c>
      <c r="F19" s="2">
        <v>0.159670926153136</v>
      </c>
      <c r="G19" s="2">
        <v>0.188129637512415</v>
      </c>
      <c r="H19" s="2">
        <v>0.01517774</v>
      </c>
      <c r="I19" s="6">
        <v>457.47</v>
      </c>
      <c r="J19" s="6">
        <v>2189</v>
      </c>
      <c r="K19">
        <f t="shared" si="0"/>
        <v>0.208985838282321</v>
      </c>
      <c r="L19" s="2">
        <v>1334.945122</v>
      </c>
      <c r="M19" s="2">
        <v>87.55</v>
      </c>
      <c r="N19" s="6">
        <v>43.8</v>
      </c>
      <c r="O19" s="6">
        <v>236.9</v>
      </c>
      <c r="P19" s="6">
        <v>117.8</v>
      </c>
    </row>
    <row r="20" spans="1:16">
      <c r="A20" t="s">
        <v>16</v>
      </c>
      <c r="B20">
        <v>2021</v>
      </c>
      <c r="C20">
        <v>0.11402694627162</v>
      </c>
      <c r="D20" s="6">
        <v>187526</v>
      </c>
      <c r="E20" s="6">
        <v>20459.1</v>
      </c>
      <c r="F20" s="2">
        <v>0.180019295612684</v>
      </c>
      <c r="G20" s="2">
        <v>0.173051435476641</v>
      </c>
      <c r="H20" s="2">
        <v>0.01483237</v>
      </c>
      <c r="I20" s="6">
        <v>472.57</v>
      </c>
      <c r="J20" s="6">
        <v>2189</v>
      </c>
      <c r="K20">
        <f t="shared" si="0"/>
        <v>0.21588396528095</v>
      </c>
      <c r="L20" s="2">
        <v>1334.512195</v>
      </c>
      <c r="M20" s="2">
        <v>87.5</v>
      </c>
      <c r="N20" s="6">
        <v>43.8</v>
      </c>
      <c r="O20" s="6">
        <v>249.24</v>
      </c>
      <c r="P20" s="6">
        <v>280</v>
      </c>
    </row>
    <row r="21" spans="1:16">
      <c r="A21" t="s">
        <v>16</v>
      </c>
      <c r="B21">
        <v>2022</v>
      </c>
      <c r="C21">
        <v>0.112375145220512</v>
      </c>
      <c r="D21" s="6">
        <v>189988</v>
      </c>
      <c r="E21" s="6">
        <v>23615.1</v>
      </c>
      <c r="F21" s="2">
        <v>0.158734469250919</v>
      </c>
      <c r="G21" s="2">
        <v>0.165746739343182</v>
      </c>
      <c r="H21" s="2">
        <v>0.015772034</v>
      </c>
      <c r="I21" s="6">
        <v>472.06</v>
      </c>
      <c r="J21" s="6">
        <v>2184</v>
      </c>
      <c r="K21">
        <f t="shared" si="0"/>
        <v>0.216144688644689</v>
      </c>
      <c r="L21" s="2">
        <v>1331.890244</v>
      </c>
      <c r="M21" s="2">
        <v>69.518</v>
      </c>
      <c r="N21" s="6">
        <v>43.8</v>
      </c>
      <c r="O21" s="6">
        <v>222.9</v>
      </c>
      <c r="P21" s="6">
        <v>108.4</v>
      </c>
    </row>
    <row r="22" spans="1:16">
      <c r="A22" t="s">
        <v>17</v>
      </c>
      <c r="B22">
        <v>2003</v>
      </c>
      <c r="C22">
        <v>0.274414120846759</v>
      </c>
      <c r="D22" s="6">
        <v>22371</v>
      </c>
      <c r="E22" s="6">
        <v>781.2</v>
      </c>
      <c r="F22" s="2">
        <v>0.503853308530428</v>
      </c>
      <c r="G22" s="2">
        <v>1.42393923288157</v>
      </c>
      <c r="H22" s="2">
        <v>0.01618485</v>
      </c>
      <c r="I22" s="6">
        <v>320.07</v>
      </c>
      <c r="J22" s="6">
        <v>1011</v>
      </c>
      <c r="K22">
        <f t="shared" si="0"/>
        <v>0.316587537091988</v>
      </c>
      <c r="L22" s="2">
        <v>842.75</v>
      </c>
      <c r="M22" s="2">
        <v>54.38</v>
      </c>
      <c r="N22" s="6">
        <v>8.2</v>
      </c>
      <c r="O22" s="6">
        <v>6.3</v>
      </c>
      <c r="P22" s="6">
        <v>114</v>
      </c>
    </row>
    <row r="23" spans="1:16">
      <c r="A23" t="s">
        <v>17</v>
      </c>
      <c r="B23">
        <v>2004</v>
      </c>
      <c r="C23">
        <v>0.257287289037501</v>
      </c>
      <c r="D23" s="6">
        <v>25761</v>
      </c>
      <c r="E23" s="6">
        <v>877.2</v>
      </c>
      <c r="F23" s="2">
        <v>0.51440235015833</v>
      </c>
      <c r="G23" s="2">
        <v>1.41035443134562</v>
      </c>
      <c r="H23" s="2">
        <v>0.01563212</v>
      </c>
      <c r="I23" s="6">
        <v>339.76</v>
      </c>
      <c r="J23" s="6">
        <v>1024</v>
      </c>
      <c r="K23">
        <f t="shared" si="0"/>
        <v>0.331796875</v>
      </c>
      <c r="L23" s="2">
        <v>853.0583333</v>
      </c>
      <c r="M23" s="2">
        <v>54.31</v>
      </c>
      <c r="N23" s="6">
        <v>8.2</v>
      </c>
      <c r="O23" s="6">
        <v>6.96</v>
      </c>
      <c r="P23" s="6">
        <v>139.7</v>
      </c>
    </row>
    <row r="24" spans="1:16">
      <c r="A24" t="s">
        <v>17</v>
      </c>
      <c r="B24">
        <v>2005</v>
      </c>
      <c r="C24">
        <v>0.250376103616514</v>
      </c>
      <c r="D24" s="6">
        <v>30567</v>
      </c>
      <c r="E24" s="6">
        <v>982.2</v>
      </c>
      <c r="F24" s="2">
        <v>0.51620971316406</v>
      </c>
      <c r="G24" s="2">
        <v>1.30285569556132</v>
      </c>
      <c r="H24" s="2">
        <v>0.01554461</v>
      </c>
      <c r="I24" s="6">
        <v>369.06</v>
      </c>
      <c r="J24" s="6">
        <v>1043</v>
      </c>
      <c r="K24">
        <f t="shared" si="0"/>
        <v>0.353844678811122</v>
      </c>
      <c r="L24" s="2">
        <v>868.775</v>
      </c>
      <c r="M24" s="2">
        <v>75.11</v>
      </c>
      <c r="N24" s="6">
        <v>8.2</v>
      </c>
      <c r="O24" s="6">
        <v>6.15</v>
      </c>
      <c r="P24" s="6">
        <v>102.2</v>
      </c>
    </row>
    <row r="25" spans="1:16">
      <c r="A25" t="s">
        <v>17</v>
      </c>
      <c r="B25">
        <v>2006</v>
      </c>
      <c r="C25">
        <v>0.235507081152781</v>
      </c>
      <c r="D25" s="6">
        <v>33411</v>
      </c>
      <c r="E25" s="6">
        <v>1123.6</v>
      </c>
      <c r="F25" s="2">
        <v>0.518483974902493</v>
      </c>
      <c r="G25" s="2">
        <v>1.27893844327624</v>
      </c>
      <c r="H25" s="2">
        <v>0.01529371</v>
      </c>
      <c r="I25" s="6">
        <v>359.24</v>
      </c>
      <c r="J25" s="6">
        <v>1075</v>
      </c>
      <c r="K25">
        <f t="shared" si="0"/>
        <v>0.334176744186047</v>
      </c>
      <c r="L25" s="2">
        <v>895.8333333</v>
      </c>
      <c r="M25" s="2">
        <v>75.73</v>
      </c>
      <c r="N25" s="6">
        <v>8.2</v>
      </c>
      <c r="O25" s="6">
        <v>7.18</v>
      </c>
      <c r="P25" s="6">
        <v>95.5</v>
      </c>
    </row>
    <row r="26" spans="1:16">
      <c r="A26" t="s">
        <v>17</v>
      </c>
      <c r="B26">
        <v>2007</v>
      </c>
      <c r="C26">
        <v>0.211141680957928</v>
      </c>
      <c r="D26" s="6">
        <v>37976</v>
      </c>
      <c r="E26" s="6">
        <v>1317.7</v>
      </c>
      <c r="F26" s="2">
        <v>0.510677183532128</v>
      </c>
      <c r="G26" s="2">
        <v>1.18903664871104</v>
      </c>
      <c r="H26" s="2">
        <v>0.01520435</v>
      </c>
      <c r="I26" s="6">
        <v>393.27</v>
      </c>
      <c r="J26" s="6">
        <v>1115</v>
      </c>
      <c r="K26">
        <f t="shared" si="0"/>
        <v>0.352708520179372</v>
      </c>
      <c r="L26" s="2">
        <v>929.1666667</v>
      </c>
      <c r="M26" s="2">
        <v>76.31</v>
      </c>
      <c r="N26" s="6">
        <v>8.2</v>
      </c>
      <c r="O26" s="6">
        <v>5.91</v>
      </c>
      <c r="P26" s="6">
        <v>103.3</v>
      </c>
    </row>
    <row r="27" spans="1:16">
      <c r="A27" t="s">
        <v>17</v>
      </c>
      <c r="B27">
        <v>2008</v>
      </c>
      <c r="C27">
        <v>0.219845673206585</v>
      </c>
      <c r="D27" s="6">
        <v>45242</v>
      </c>
      <c r="E27" s="6">
        <v>1620.9</v>
      </c>
      <c r="F27" s="2">
        <v>0.513217814140167</v>
      </c>
      <c r="G27" s="2">
        <v>1.03504167953072</v>
      </c>
      <c r="H27" s="2">
        <v>0.01501848</v>
      </c>
      <c r="I27" s="6">
        <v>382.26</v>
      </c>
      <c r="J27" s="6">
        <v>1176</v>
      </c>
      <c r="K27">
        <f t="shared" si="0"/>
        <v>0.325051020408163</v>
      </c>
      <c r="L27" s="2">
        <v>980</v>
      </c>
      <c r="M27" s="2">
        <v>77.23</v>
      </c>
      <c r="N27" s="6">
        <v>8.2</v>
      </c>
      <c r="O27" s="6">
        <v>10.98</v>
      </c>
      <c r="P27" s="6">
        <v>159.8</v>
      </c>
    </row>
    <row r="28" spans="1:16">
      <c r="A28" t="s">
        <v>17</v>
      </c>
      <c r="B28">
        <v>2009</v>
      </c>
      <c r="C28">
        <v>0.266438012493224</v>
      </c>
      <c r="D28" s="6">
        <v>47497</v>
      </c>
      <c r="E28" s="6">
        <v>1827.2</v>
      </c>
      <c r="F28" s="2">
        <v>0.491925879220961</v>
      </c>
      <c r="G28" s="2">
        <v>1.02879361076082</v>
      </c>
      <c r="H28" s="2">
        <v>0.01503356</v>
      </c>
      <c r="I28" s="6">
        <v>415.77</v>
      </c>
      <c r="J28" s="6">
        <v>1228</v>
      </c>
      <c r="K28">
        <f t="shared" si="0"/>
        <v>0.338574918566775</v>
      </c>
      <c r="L28" s="2">
        <v>1023.466667</v>
      </c>
      <c r="M28" s="2">
        <v>78.01</v>
      </c>
      <c r="N28" s="6">
        <v>9.9</v>
      </c>
      <c r="O28" s="6">
        <v>13.36</v>
      </c>
      <c r="P28" s="6">
        <v>126.8</v>
      </c>
    </row>
    <row r="29" spans="1:16">
      <c r="A29" t="s">
        <v>17</v>
      </c>
      <c r="B29">
        <v>2010</v>
      </c>
      <c r="C29">
        <v>0.191878494202006</v>
      </c>
      <c r="D29" s="6">
        <v>54053</v>
      </c>
      <c r="E29" s="6">
        <v>2256</v>
      </c>
      <c r="F29" s="2">
        <v>0.477206183755929</v>
      </c>
      <c r="G29" s="2">
        <v>0.998137846225918</v>
      </c>
      <c r="H29" s="2">
        <v>0.0153752</v>
      </c>
      <c r="I29" s="6">
        <v>589.08</v>
      </c>
      <c r="J29" s="6">
        <v>1299</v>
      </c>
      <c r="K29">
        <f t="shared" si="0"/>
        <v>0.453487297921478</v>
      </c>
      <c r="L29" s="2">
        <v>1082.741667</v>
      </c>
      <c r="M29" s="2">
        <v>79.55</v>
      </c>
      <c r="N29" s="6">
        <v>9.9</v>
      </c>
      <c r="O29" s="6">
        <v>27.1</v>
      </c>
      <c r="P29" s="6">
        <v>72.8</v>
      </c>
    </row>
    <row r="30" spans="1:16">
      <c r="A30" t="s">
        <v>17</v>
      </c>
      <c r="B30">
        <v>2011</v>
      </c>
      <c r="C30">
        <v>0.173406201936551</v>
      </c>
      <c r="D30" s="6">
        <v>61458</v>
      </c>
      <c r="E30" s="6">
        <v>2736.7</v>
      </c>
      <c r="F30" s="2">
        <v>0.463026194144838</v>
      </c>
      <c r="G30" s="2">
        <v>0.936579352850539</v>
      </c>
      <c r="H30" s="2">
        <v>0.0147823</v>
      </c>
      <c r="I30" s="6">
        <v>621.06</v>
      </c>
      <c r="J30" s="6">
        <v>1341</v>
      </c>
      <c r="K30">
        <f t="shared" si="0"/>
        <v>0.463131991051454</v>
      </c>
      <c r="L30" s="2">
        <v>1117.5</v>
      </c>
      <c r="M30" s="2">
        <v>80.43</v>
      </c>
      <c r="N30" s="6">
        <v>9.9</v>
      </c>
      <c r="O30" s="6">
        <v>32.24</v>
      </c>
      <c r="P30" s="6">
        <v>116</v>
      </c>
    </row>
    <row r="31" spans="1:16">
      <c r="A31" t="s">
        <v>17</v>
      </c>
      <c r="B31">
        <v>2012</v>
      </c>
      <c r="C31">
        <v>0.169200028000253</v>
      </c>
      <c r="D31" s="6">
        <v>66517</v>
      </c>
      <c r="E31" s="6">
        <v>3180.7</v>
      </c>
      <c r="F31" s="2">
        <v>0.457149176158355</v>
      </c>
      <c r="G31" s="2">
        <v>0.907664491872166</v>
      </c>
      <c r="H31" s="2">
        <v>0.01456872</v>
      </c>
      <c r="I31" s="6">
        <v>589.7</v>
      </c>
      <c r="J31" s="6">
        <v>1378</v>
      </c>
      <c r="K31">
        <f t="shared" si="0"/>
        <v>0.427939042089986</v>
      </c>
      <c r="L31" s="2">
        <v>1148.333333</v>
      </c>
      <c r="M31" s="2">
        <v>81.55</v>
      </c>
      <c r="N31" s="6">
        <v>9.9</v>
      </c>
      <c r="O31" s="6">
        <v>38.49</v>
      </c>
      <c r="P31" s="6">
        <v>238</v>
      </c>
    </row>
    <row r="32" spans="1:16">
      <c r="A32" t="s">
        <v>17</v>
      </c>
      <c r="B32">
        <v>2013</v>
      </c>
      <c r="C32">
        <v>0.174962161009501</v>
      </c>
      <c r="D32" s="6">
        <v>71345</v>
      </c>
      <c r="E32" s="6">
        <v>3788.7</v>
      </c>
      <c r="F32" s="2">
        <v>0.443129486999015</v>
      </c>
      <c r="G32" s="2">
        <v>0.792527198503831</v>
      </c>
      <c r="H32" s="2">
        <v>0.01449721</v>
      </c>
      <c r="I32" s="6">
        <v>624.26</v>
      </c>
      <c r="J32" s="6">
        <v>1410</v>
      </c>
      <c r="K32">
        <f t="shared" si="0"/>
        <v>0.442737588652482</v>
      </c>
      <c r="L32" s="2">
        <v>1175</v>
      </c>
      <c r="M32" s="2">
        <v>82.29</v>
      </c>
      <c r="N32" s="6">
        <v>9.9</v>
      </c>
      <c r="O32" s="6">
        <v>48.44</v>
      </c>
      <c r="P32" s="6">
        <v>101.5</v>
      </c>
    </row>
    <row r="33" spans="1:16">
      <c r="A33" t="s">
        <v>17</v>
      </c>
      <c r="B33">
        <v>2014</v>
      </c>
      <c r="C33">
        <v>0.181832921205585</v>
      </c>
      <c r="D33" s="6">
        <v>74960</v>
      </c>
      <c r="E33" s="6">
        <v>4258.1</v>
      </c>
      <c r="F33" s="2">
        <v>0.433763133657876</v>
      </c>
      <c r="G33" s="2">
        <v>0.765469992293668</v>
      </c>
      <c r="H33" s="2">
        <v>0.01427763</v>
      </c>
      <c r="I33" s="6">
        <v>625.52</v>
      </c>
      <c r="J33" s="6">
        <v>1429</v>
      </c>
      <c r="K33">
        <f t="shared" si="0"/>
        <v>0.437732680195941</v>
      </c>
      <c r="L33" s="2">
        <v>1190.833333</v>
      </c>
      <c r="M33" s="2">
        <v>82.55</v>
      </c>
      <c r="N33" s="6">
        <v>12.1</v>
      </c>
      <c r="O33" s="6">
        <v>57.93</v>
      </c>
      <c r="P33" s="6">
        <v>76.1</v>
      </c>
    </row>
    <row r="34" spans="1:16">
      <c r="A34" t="s">
        <v>17</v>
      </c>
      <c r="B34">
        <v>2015</v>
      </c>
      <c r="C34">
        <v>0.188445157685064</v>
      </c>
      <c r="D34" s="6">
        <v>75868</v>
      </c>
      <c r="E34" s="6">
        <v>4993.1</v>
      </c>
      <c r="F34" s="2">
        <v>0.412666023254745</v>
      </c>
      <c r="G34" s="2">
        <v>0.764649110712808</v>
      </c>
      <c r="H34" s="2">
        <v>0.01406216</v>
      </c>
      <c r="I34" s="6">
        <v>623</v>
      </c>
      <c r="J34" s="6">
        <v>1439</v>
      </c>
      <c r="K34">
        <f t="shared" si="0"/>
        <v>0.432939541348158</v>
      </c>
      <c r="L34" s="2">
        <v>1199.166667</v>
      </c>
      <c r="M34" s="2">
        <v>82.88</v>
      </c>
      <c r="N34" s="6">
        <v>12.1</v>
      </c>
      <c r="O34" s="6">
        <v>73.1</v>
      </c>
      <c r="P34" s="6">
        <v>83.6</v>
      </c>
    </row>
    <row r="35" spans="1:16">
      <c r="A35" t="s">
        <v>17</v>
      </c>
      <c r="B35">
        <v>2016</v>
      </c>
      <c r="C35">
        <v>0.168596649246985</v>
      </c>
      <c r="D35" s="6">
        <v>79647</v>
      </c>
      <c r="E35" s="6">
        <v>5636.3</v>
      </c>
      <c r="F35" s="2">
        <v>0.38058062942181</v>
      </c>
      <c r="G35" s="2">
        <v>0.703830202488412</v>
      </c>
      <c r="H35" s="2">
        <v>0.0135225</v>
      </c>
      <c r="I35" s="6">
        <v>617.55</v>
      </c>
      <c r="J35" s="6">
        <v>1443</v>
      </c>
      <c r="K35">
        <f t="shared" si="0"/>
        <v>0.427962577962578</v>
      </c>
      <c r="L35" s="2">
        <v>1202.5</v>
      </c>
      <c r="M35" s="2">
        <v>83.27</v>
      </c>
      <c r="N35" s="6">
        <v>12.1</v>
      </c>
      <c r="O35" s="6">
        <v>65.63</v>
      </c>
      <c r="P35" s="6">
        <v>121.6</v>
      </c>
    </row>
    <row r="36" spans="1:16">
      <c r="A36" t="s">
        <v>17</v>
      </c>
      <c r="B36">
        <v>2017</v>
      </c>
      <c r="C36">
        <v>0.160804073183619</v>
      </c>
      <c r="D36" s="6">
        <v>87280</v>
      </c>
      <c r="E36" s="6">
        <v>6078.2</v>
      </c>
      <c r="F36" s="2">
        <v>0.366576711162514</v>
      </c>
      <c r="G36" s="2">
        <v>0.629045989751498</v>
      </c>
      <c r="H36" s="2">
        <v>0.01277169</v>
      </c>
      <c r="I36" s="6">
        <v>611</v>
      </c>
      <c r="J36" s="6">
        <v>1410</v>
      </c>
      <c r="K36">
        <f t="shared" si="0"/>
        <v>0.433333333333333</v>
      </c>
      <c r="L36" s="2">
        <v>1175</v>
      </c>
      <c r="M36" s="2">
        <v>83.57</v>
      </c>
      <c r="N36" s="6">
        <v>12.1</v>
      </c>
      <c r="O36" s="6">
        <v>110.22</v>
      </c>
      <c r="P36" s="6">
        <v>83.4</v>
      </c>
    </row>
    <row r="37" spans="1:16">
      <c r="A37" t="s">
        <v>17</v>
      </c>
      <c r="B37">
        <v>2018</v>
      </c>
      <c r="C37">
        <v>0.146001527336182</v>
      </c>
      <c r="D37" s="6">
        <v>95689</v>
      </c>
      <c r="E37" s="6">
        <v>6603.7</v>
      </c>
      <c r="F37" s="2">
        <v>0.361845108471963</v>
      </c>
      <c r="G37" s="2">
        <v>0.596651924357737</v>
      </c>
      <c r="H37" s="2">
        <v>0.01248428</v>
      </c>
      <c r="I37" s="6">
        <v>711.47</v>
      </c>
      <c r="J37" s="6">
        <v>1383</v>
      </c>
      <c r="K37">
        <f t="shared" si="0"/>
        <v>0.514439624005785</v>
      </c>
      <c r="L37" s="2">
        <v>1152.5</v>
      </c>
      <c r="M37" s="2">
        <v>83.95</v>
      </c>
      <c r="N37" s="6">
        <v>12.1</v>
      </c>
      <c r="O37" s="6">
        <v>66.46</v>
      </c>
      <c r="P37" s="6">
        <v>112.9</v>
      </c>
    </row>
    <row r="38" spans="1:16">
      <c r="A38" t="s">
        <v>17</v>
      </c>
      <c r="B38">
        <v>2019</v>
      </c>
      <c r="C38">
        <v>0.13705411084685</v>
      </c>
      <c r="D38" s="6">
        <v>101557</v>
      </c>
      <c r="E38" s="6">
        <v>7157.2</v>
      </c>
      <c r="F38" s="2">
        <v>0.351976094767173</v>
      </c>
      <c r="G38" s="2">
        <v>0.586318522998115</v>
      </c>
      <c r="H38" s="2">
        <v>0.01211905</v>
      </c>
      <c r="I38" s="6">
        <v>732.98</v>
      </c>
      <c r="J38" s="6">
        <v>1385</v>
      </c>
      <c r="K38">
        <f t="shared" si="0"/>
        <v>0.529227436823105</v>
      </c>
      <c r="L38" s="2">
        <v>1154.166667</v>
      </c>
      <c r="M38" s="2">
        <v>84.31</v>
      </c>
      <c r="N38" s="6">
        <v>12.1</v>
      </c>
      <c r="O38" s="6">
        <v>242.29</v>
      </c>
      <c r="P38" s="6">
        <v>51.9</v>
      </c>
    </row>
    <row r="39" spans="1:16">
      <c r="A39" t="s">
        <v>17</v>
      </c>
      <c r="B39">
        <v>2020</v>
      </c>
      <c r="C39">
        <v>0.134060943046008</v>
      </c>
      <c r="D39" s="6">
        <v>101068</v>
      </c>
      <c r="E39" s="6">
        <v>7739</v>
      </c>
      <c r="F39" s="2">
        <v>0.350642490005711</v>
      </c>
      <c r="G39" s="2">
        <v>0.578569388920617</v>
      </c>
      <c r="H39" s="2">
        <v>0.01164958</v>
      </c>
      <c r="I39" s="6">
        <v>771.61</v>
      </c>
      <c r="J39" s="6">
        <v>1387</v>
      </c>
      <c r="K39">
        <f t="shared" si="0"/>
        <v>0.556315789473684</v>
      </c>
      <c r="L39" s="2">
        <v>1155.7</v>
      </c>
      <c r="M39" s="2">
        <v>84.7</v>
      </c>
      <c r="N39" s="6">
        <v>12.1</v>
      </c>
      <c r="O39" s="6">
        <v>60.72</v>
      </c>
      <c r="P39" s="6">
        <v>96</v>
      </c>
    </row>
    <row r="40" spans="1:16">
      <c r="A40" t="s">
        <v>17</v>
      </c>
      <c r="B40">
        <v>2021</v>
      </c>
      <c r="C40">
        <v>0.126802679898752</v>
      </c>
      <c r="D40" s="6">
        <v>113660</v>
      </c>
      <c r="E40" s="6">
        <v>8348.9</v>
      </c>
      <c r="F40" s="2">
        <v>0.361661704420118</v>
      </c>
      <c r="G40" s="2">
        <v>0.523151908499149</v>
      </c>
      <c r="H40" s="2">
        <v>0.01181297</v>
      </c>
      <c r="I40" s="6">
        <v>799.73</v>
      </c>
      <c r="J40" s="6">
        <v>1373</v>
      </c>
      <c r="K40">
        <f t="shared" si="0"/>
        <v>0.582469045884924</v>
      </c>
      <c r="L40" s="2">
        <v>1144.166667</v>
      </c>
      <c r="M40" s="2">
        <v>84.88</v>
      </c>
      <c r="N40" s="6">
        <v>12.1</v>
      </c>
      <c r="O40" s="6">
        <v>47.14</v>
      </c>
      <c r="P40" s="6">
        <v>288.4</v>
      </c>
    </row>
    <row r="41" spans="1:16">
      <c r="A41" t="s">
        <v>17</v>
      </c>
      <c r="B41">
        <v>2022</v>
      </c>
      <c r="C41">
        <v>0.124581314763079</v>
      </c>
      <c r="D41" s="6">
        <v>117925</v>
      </c>
      <c r="E41" s="6">
        <v>8987</v>
      </c>
      <c r="F41" s="2">
        <v>0.37022800144685</v>
      </c>
      <c r="G41" s="2">
        <v>0.497922912336846</v>
      </c>
      <c r="H41" s="2">
        <v>0.018397112</v>
      </c>
      <c r="I41" s="6">
        <v>818.59</v>
      </c>
      <c r="J41" s="6">
        <v>1363</v>
      </c>
      <c r="K41">
        <f t="shared" si="0"/>
        <v>0.600579603815114</v>
      </c>
      <c r="L41" s="2">
        <v>1135.833333</v>
      </c>
      <c r="M41" s="2">
        <v>54.466</v>
      </c>
      <c r="N41" s="6">
        <v>12.1</v>
      </c>
      <c r="O41" s="6">
        <v>29.06</v>
      </c>
      <c r="P41" s="6">
        <v>121.3</v>
      </c>
    </row>
    <row r="42" spans="1:16">
      <c r="A42" t="s">
        <v>18</v>
      </c>
      <c r="B42">
        <v>2003</v>
      </c>
      <c r="C42">
        <v>0.326689156443098</v>
      </c>
      <c r="D42" s="6">
        <v>9380</v>
      </c>
      <c r="E42" s="6">
        <v>2208.7</v>
      </c>
      <c r="F42" s="2">
        <v>0.461459517494</v>
      </c>
      <c r="G42" s="2">
        <v>2.41535461664772</v>
      </c>
      <c r="H42" s="2">
        <v>0.0581964</v>
      </c>
      <c r="I42" s="6">
        <v>1088.34</v>
      </c>
      <c r="J42" s="6">
        <v>6769</v>
      </c>
      <c r="K42">
        <f t="shared" si="0"/>
        <v>0.160782981237997</v>
      </c>
      <c r="L42" s="2">
        <v>358.5508475</v>
      </c>
      <c r="M42" s="2">
        <v>33.52</v>
      </c>
      <c r="N42" s="6">
        <v>22.3</v>
      </c>
      <c r="O42" s="6">
        <v>18.75</v>
      </c>
      <c r="P42" s="6">
        <v>212.3</v>
      </c>
    </row>
    <row r="43" spans="1:16">
      <c r="A43" t="s">
        <v>18</v>
      </c>
      <c r="B43">
        <v>2004</v>
      </c>
      <c r="C43">
        <v>0.313772801878416</v>
      </c>
      <c r="D43" s="6">
        <v>11178</v>
      </c>
      <c r="E43" s="6">
        <v>2551.4</v>
      </c>
      <c r="F43" s="2">
        <v>0.456988113749572</v>
      </c>
      <c r="G43" s="2">
        <v>2.28603299686372</v>
      </c>
      <c r="H43" s="2">
        <v>0.05936761</v>
      </c>
      <c r="I43" s="6">
        <v>1255.56</v>
      </c>
      <c r="J43" s="6">
        <v>6809</v>
      </c>
      <c r="K43">
        <f t="shared" si="0"/>
        <v>0.184397121456895</v>
      </c>
      <c r="L43" s="2">
        <v>360.6329449</v>
      </c>
      <c r="M43" s="2">
        <v>35.83</v>
      </c>
      <c r="N43" s="6">
        <v>22.3</v>
      </c>
      <c r="O43" s="6">
        <v>22.19</v>
      </c>
      <c r="P43" s="6">
        <v>226.5</v>
      </c>
    </row>
    <row r="44" spans="1:16">
      <c r="A44" t="s">
        <v>18</v>
      </c>
      <c r="B44">
        <v>2005</v>
      </c>
      <c r="C44">
        <v>0.308040638835059</v>
      </c>
      <c r="D44" s="6">
        <v>12845</v>
      </c>
      <c r="E44" s="6">
        <v>2916</v>
      </c>
      <c r="F44" s="2">
        <v>0.470045820320514</v>
      </c>
      <c r="G44" s="2">
        <v>2.25056420543917</v>
      </c>
      <c r="H44" s="2">
        <v>0.0606656</v>
      </c>
      <c r="I44" s="6">
        <v>1338.63</v>
      </c>
      <c r="J44" s="6">
        <v>6851</v>
      </c>
      <c r="K44">
        <f t="shared" si="0"/>
        <v>0.195391913589257</v>
      </c>
      <c r="L44" s="2">
        <v>362.8617585</v>
      </c>
      <c r="M44" s="2">
        <v>37.69</v>
      </c>
      <c r="N44" s="6">
        <v>22.3</v>
      </c>
      <c r="O44" s="6">
        <v>26.96</v>
      </c>
      <c r="P44" s="6">
        <v>197</v>
      </c>
    </row>
    <row r="45" spans="1:16">
      <c r="A45" t="s">
        <v>18</v>
      </c>
      <c r="B45">
        <v>2006</v>
      </c>
      <c r="C45">
        <v>0.340607913759915</v>
      </c>
      <c r="D45" s="6">
        <v>14609</v>
      </c>
      <c r="E45" s="6">
        <v>3385.1</v>
      </c>
      <c r="F45" s="2">
        <v>0.475146868465598</v>
      </c>
      <c r="G45" s="2">
        <v>2.15975007467888</v>
      </c>
      <c r="H45" s="2">
        <v>0.06118301</v>
      </c>
      <c r="I45" s="6">
        <v>1461</v>
      </c>
      <c r="J45" s="6">
        <v>6898</v>
      </c>
      <c r="K45">
        <f t="shared" si="0"/>
        <v>0.211800521890403</v>
      </c>
      <c r="L45" s="2">
        <v>365.3527542</v>
      </c>
      <c r="M45" s="2">
        <v>38.77</v>
      </c>
      <c r="N45" s="6">
        <v>22.3</v>
      </c>
      <c r="O45" s="6">
        <v>33.76</v>
      </c>
      <c r="P45" s="6">
        <v>156.1</v>
      </c>
    </row>
    <row r="46" spans="1:16">
      <c r="A46" t="s">
        <v>18</v>
      </c>
      <c r="B46">
        <v>2007</v>
      </c>
      <c r="C46">
        <v>0.279929416241994</v>
      </c>
      <c r="D46" s="6">
        <v>17561</v>
      </c>
      <c r="E46" s="6">
        <v>3921.6</v>
      </c>
      <c r="F46" s="2">
        <v>0.481325444955525</v>
      </c>
      <c r="G46" s="2">
        <v>1.93286046951756</v>
      </c>
      <c r="H46" s="2">
        <v>0.06186288</v>
      </c>
      <c r="I46" s="6">
        <v>1646.24</v>
      </c>
      <c r="J46" s="6">
        <v>6943</v>
      </c>
      <c r="K46">
        <f t="shared" si="0"/>
        <v>0.237107878438715</v>
      </c>
      <c r="L46" s="2">
        <v>367.7537076</v>
      </c>
      <c r="M46" s="2">
        <v>40.25</v>
      </c>
      <c r="N46" s="6">
        <v>22.3</v>
      </c>
      <c r="O46" s="6">
        <v>43.8</v>
      </c>
      <c r="P46" s="6">
        <v>173.1</v>
      </c>
    </row>
    <row r="47" spans="1:16">
      <c r="A47" t="s">
        <v>18</v>
      </c>
      <c r="B47">
        <v>2008</v>
      </c>
      <c r="C47">
        <v>0.274974799631178</v>
      </c>
      <c r="D47" s="6">
        <v>20385</v>
      </c>
      <c r="E47" s="6">
        <v>4526.8</v>
      </c>
      <c r="F47" s="2">
        <v>0.491651467243188</v>
      </c>
      <c r="G47" s="2">
        <v>1.71280483940254</v>
      </c>
      <c r="H47" s="2">
        <v>0.06099048</v>
      </c>
      <c r="I47" s="6">
        <v>1527.75</v>
      </c>
      <c r="J47" s="6">
        <v>6989</v>
      </c>
      <c r="K47">
        <f t="shared" si="0"/>
        <v>0.218593504077837</v>
      </c>
      <c r="L47" s="2">
        <v>370.1705508</v>
      </c>
      <c r="M47" s="2">
        <v>41.9</v>
      </c>
      <c r="N47" s="6">
        <v>22.3</v>
      </c>
      <c r="O47" s="6">
        <v>76.36</v>
      </c>
      <c r="P47" s="6">
        <v>231.1</v>
      </c>
    </row>
    <row r="48" spans="1:16">
      <c r="A48" t="s">
        <v>18</v>
      </c>
      <c r="B48">
        <v>2009</v>
      </c>
      <c r="C48">
        <v>0.274542196640354</v>
      </c>
      <c r="D48" s="6">
        <v>21831</v>
      </c>
      <c r="E48" s="6">
        <v>5043.4</v>
      </c>
      <c r="F48" s="2">
        <v>0.468050356375229</v>
      </c>
      <c r="G48" s="2">
        <v>1.66062364031907</v>
      </c>
      <c r="H48" s="2">
        <v>0.06404801</v>
      </c>
      <c r="I48" s="6">
        <v>1742.46</v>
      </c>
      <c r="J48" s="6">
        <v>7034</v>
      </c>
      <c r="K48">
        <f t="shared" si="0"/>
        <v>0.247719647426784</v>
      </c>
      <c r="L48" s="2">
        <v>372.5847458</v>
      </c>
      <c r="M48" s="2">
        <v>43.74</v>
      </c>
      <c r="N48" s="6">
        <v>23.4</v>
      </c>
      <c r="O48" s="6">
        <v>104.2</v>
      </c>
      <c r="P48" s="6">
        <v>201.3</v>
      </c>
    </row>
    <row r="49" spans="1:16">
      <c r="A49" t="s">
        <v>18</v>
      </c>
      <c r="B49">
        <v>2010</v>
      </c>
      <c r="C49">
        <v>0.268297065018174</v>
      </c>
      <c r="D49" s="6">
        <v>25308</v>
      </c>
      <c r="E49" s="6">
        <v>5731.4</v>
      </c>
      <c r="F49" s="2">
        <v>0.470489235486236</v>
      </c>
      <c r="G49" s="2">
        <v>1.5292002710569</v>
      </c>
      <c r="H49" s="2">
        <v>0.06408564</v>
      </c>
      <c r="I49" s="6">
        <v>1993.12</v>
      </c>
      <c r="J49" s="6">
        <v>7194</v>
      </c>
      <c r="K49">
        <f t="shared" si="0"/>
        <v>0.277053099805393</v>
      </c>
      <c r="L49" s="2">
        <v>381.0169492</v>
      </c>
      <c r="M49" s="2">
        <v>44.5</v>
      </c>
      <c r="N49" s="6">
        <v>23.4</v>
      </c>
      <c r="O49" s="6">
        <v>115.16</v>
      </c>
      <c r="P49" s="6">
        <v>195.3</v>
      </c>
    </row>
    <row r="50" spans="1:16">
      <c r="A50" t="s">
        <v>18</v>
      </c>
      <c r="B50">
        <v>2011</v>
      </c>
      <c r="C50">
        <v>0.221421677652196</v>
      </c>
      <c r="D50" s="6">
        <v>29647</v>
      </c>
      <c r="E50" s="6">
        <v>6892.7</v>
      </c>
      <c r="F50" s="2">
        <v>0.480507091518703</v>
      </c>
      <c r="G50" s="2">
        <v>1.3793974196505</v>
      </c>
      <c r="H50" s="2">
        <v>0.06347364</v>
      </c>
      <c r="I50" s="6">
        <v>2326.98</v>
      </c>
      <c r="J50" s="6">
        <v>7232</v>
      </c>
      <c r="K50">
        <f t="shared" si="0"/>
        <v>0.321761615044248</v>
      </c>
      <c r="L50" s="2">
        <v>383.0434322</v>
      </c>
      <c r="M50" s="2">
        <v>45.59</v>
      </c>
      <c r="N50" s="6">
        <v>23.4</v>
      </c>
      <c r="O50" s="6">
        <v>105.48</v>
      </c>
      <c r="P50" s="6">
        <v>217.7</v>
      </c>
    </row>
    <row r="51" spans="1:16">
      <c r="A51" t="s">
        <v>18</v>
      </c>
      <c r="B51">
        <v>2012</v>
      </c>
      <c r="C51">
        <v>0.221709758335878</v>
      </c>
      <c r="D51" s="6">
        <v>31844</v>
      </c>
      <c r="E51" s="6">
        <v>7808.4</v>
      </c>
      <c r="F51" s="2">
        <v>0.473175170620734</v>
      </c>
      <c r="G51" s="2">
        <v>1.31080966309176</v>
      </c>
      <c r="H51" s="2">
        <v>0.06206163</v>
      </c>
      <c r="I51" s="6">
        <v>2370.9</v>
      </c>
      <c r="J51" s="6">
        <v>7262</v>
      </c>
      <c r="K51">
        <f t="shared" si="0"/>
        <v>0.326480308454971</v>
      </c>
      <c r="L51" s="2">
        <v>384.6398305</v>
      </c>
      <c r="M51" s="2">
        <v>46.6</v>
      </c>
      <c r="N51" s="6">
        <v>23.4</v>
      </c>
      <c r="O51" s="6">
        <v>127.93</v>
      </c>
      <c r="P51" s="6">
        <v>324.2</v>
      </c>
    </row>
    <row r="52" spans="1:16">
      <c r="A52" t="s">
        <v>18</v>
      </c>
      <c r="B52">
        <v>2013</v>
      </c>
      <c r="C52">
        <v>0.228405761937486</v>
      </c>
      <c r="D52" s="6">
        <v>33346</v>
      </c>
      <c r="E52" s="6">
        <v>8448.1</v>
      </c>
      <c r="F52" s="2">
        <v>0.460782535573546</v>
      </c>
      <c r="G52" s="2">
        <v>1.22277366485845</v>
      </c>
      <c r="H52" s="2">
        <v>0.06085705</v>
      </c>
      <c r="I52" s="6">
        <v>2507.28</v>
      </c>
      <c r="J52" s="6">
        <v>7288</v>
      </c>
      <c r="K52">
        <f t="shared" si="0"/>
        <v>0.344028540065862</v>
      </c>
      <c r="L52" s="2">
        <v>385.9952331</v>
      </c>
      <c r="M52" s="2">
        <v>48.02</v>
      </c>
      <c r="N52" s="6">
        <v>23.4</v>
      </c>
      <c r="O52" s="6">
        <v>171.86</v>
      </c>
      <c r="P52" s="6">
        <v>240.6</v>
      </c>
    </row>
    <row r="53" spans="1:16">
      <c r="A53" t="s">
        <v>18</v>
      </c>
      <c r="B53">
        <v>2014</v>
      </c>
      <c r="C53">
        <v>0.252696947792302</v>
      </c>
      <c r="D53" s="6">
        <v>34507</v>
      </c>
      <c r="E53" s="6">
        <v>8955.9</v>
      </c>
      <c r="F53" s="2">
        <v>0.455271749263157</v>
      </c>
      <c r="G53" s="2">
        <v>1.1630896231093</v>
      </c>
      <c r="H53" s="2">
        <v>0.05956698</v>
      </c>
      <c r="I53" s="6">
        <v>2499.9</v>
      </c>
      <c r="J53" s="6">
        <v>7323</v>
      </c>
      <c r="K53">
        <f t="shared" si="0"/>
        <v>0.341376485047112</v>
      </c>
      <c r="L53" s="2">
        <v>387.8654661</v>
      </c>
      <c r="M53" s="2">
        <v>49.36</v>
      </c>
      <c r="N53" s="6">
        <v>26.8</v>
      </c>
      <c r="O53" s="6">
        <v>193.43</v>
      </c>
      <c r="P53" s="6">
        <v>144.3</v>
      </c>
    </row>
    <row r="54" spans="1:16">
      <c r="A54" t="s">
        <v>18</v>
      </c>
      <c r="B54">
        <v>2015</v>
      </c>
      <c r="C54">
        <v>0.261297310166375</v>
      </c>
      <c r="D54" s="6">
        <v>35994</v>
      </c>
      <c r="E54" s="6">
        <v>9499.1</v>
      </c>
      <c r="F54" s="2">
        <v>0.436371143705679</v>
      </c>
      <c r="G54" s="2">
        <v>1.17571519486029</v>
      </c>
      <c r="H54" s="2">
        <v>0.05577889</v>
      </c>
      <c r="I54" s="6">
        <v>2498</v>
      </c>
      <c r="J54" s="6">
        <v>7345</v>
      </c>
      <c r="K54">
        <f t="shared" si="0"/>
        <v>0.340095302927161</v>
      </c>
      <c r="L54" s="2">
        <v>389.0466102</v>
      </c>
      <c r="M54" s="2">
        <v>51.67</v>
      </c>
      <c r="N54" s="6">
        <v>26.8</v>
      </c>
      <c r="O54" s="6">
        <v>282.72</v>
      </c>
      <c r="P54" s="6">
        <v>182.5</v>
      </c>
    </row>
    <row r="55" spans="1:16">
      <c r="A55" t="s">
        <v>18</v>
      </c>
      <c r="B55">
        <v>2016</v>
      </c>
      <c r="C55">
        <v>0.20403785884028</v>
      </c>
      <c r="D55" s="6">
        <v>38688</v>
      </c>
      <c r="E55" s="6">
        <v>10670.8</v>
      </c>
      <c r="F55" s="2">
        <v>0.433105875163745</v>
      </c>
      <c r="G55" s="2">
        <v>1.10479347898617</v>
      </c>
      <c r="H55" s="2">
        <v>0.05463895</v>
      </c>
      <c r="I55" s="6">
        <v>2630.59</v>
      </c>
      <c r="J55" s="6">
        <v>7375</v>
      </c>
      <c r="K55">
        <f t="shared" si="0"/>
        <v>0.356690169491525</v>
      </c>
      <c r="L55" s="2">
        <v>390.6244703</v>
      </c>
      <c r="M55" s="2">
        <v>53.87</v>
      </c>
      <c r="N55" s="6">
        <v>26.8</v>
      </c>
      <c r="O55" s="6">
        <v>262.8</v>
      </c>
      <c r="P55" s="6">
        <v>279.7</v>
      </c>
    </row>
    <row r="56" spans="1:16">
      <c r="A56" t="s">
        <v>18</v>
      </c>
      <c r="B56">
        <v>2017</v>
      </c>
      <c r="C56">
        <v>0.201750216989752</v>
      </c>
      <c r="D56" s="6">
        <v>41451</v>
      </c>
      <c r="E56" s="6">
        <v>11911.3</v>
      </c>
      <c r="F56" s="2">
        <v>0.417025665126237</v>
      </c>
      <c r="G56" s="2">
        <v>1.04706796167202</v>
      </c>
      <c r="H56" s="2">
        <v>0.05456452</v>
      </c>
      <c r="I56" s="6">
        <v>2817.1</v>
      </c>
      <c r="J56" s="6">
        <v>7409</v>
      </c>
      <c r="K56">
        <f t="shared" si="0"/>
        <v>0.380226751248482</v>
      </c>
      <c r="L56" s="2">
        <v>392.4332627</v>
      </c>
      <c r="M56" s="2">
        <v>55.74</v>
      </c>
      <c r="N56" s="6">
        <v>26.8</v>
      </c>
      <c r="O56" s="6">
        <v>353.45</v>
      </c>
      <c r="P56" s="6">
        <v>184.5</v>
      </c>
    </row>
    <row r="57" spans="1:16">
      <c r="A57" t="s">
        <v>18</v>
      </c>
      <c r="B57">
        <v>2018</v>
      </c>
      <c r="C57">
        <v>0.191850137421271</v>
      </c>
      <c r="D57" s="6">
        <v>43808</v>
      </c>
      <c r="E57" s="6">
        <v>13203.2</v>
      </c>
      <c r="F57" s="2">
        <v>0.397115212989235</v>
      </c>
      <c r="G57" s="2">
        <v>0.990472263083712</v>
      </c>
      <c r="H57" s="2">
        <v>0.05312406</v>
      </c>
      <c r="I57" s="6">
        <v>3133.18</v>
      </c>
      <c r="J57" s="6">
        <v>7426</v>
      </c>
      <c r="K57">
        <f t="shared" si="0"/>
        <v>0.421920280096957</v>
      </c>
      <c r="L57" s="2">
        <v>393.3458686</v>
      </c>
      <c r="M57" s="2">
        <v>57.33</v>
      </c>
      <c r="N57" s="6">
        <v>26.8</v>
      </c>
      <c r="O57" s="6">
        <v>433.55</v>
      </c>
      <c r="P57" s="6">
        <v>217.7</v>
      </c>
    </row>
    <row r="58" spans="1:16">
      <c r="A58" t="s">
        <v>18</v>
      </c>
      <c r="B58">
        <v>2019</v>
      </c>
      <c r="C58">
        <v>0.179675207592776</v>
      </c>
      <c r="D58" s="6">
        <v>47036</v>
      </c>
      <c r="E58" s="6">
        <v>14561.6</v>
      </c>
      <c r="F58" s="2">
        <v>0.382911265745341</v>
      </c>
      <c r="G58" s="2">
        <v>0.930426031916658</v>
      </c>
      <c r="H58" s="2">
        <v>0.05319898</v>
      </c>
      <c r="I58" s="6">
        <v>3297.66</v>
      </c>
      <c r="J58" s="6">
        <v>7447</v>
      </c>
      <c r="K58">
        <f t="shared" si="0"/>
        <v>0.442817241842353</v>
      </c>
      <c r="L58" s="2">
        <v>394.4152542</v>
      </c>
      <c r="M58" s="2">
        <v>58.77</v>
      </c>
      <c r="N58" s="6">
        <v>26.8</v>
      </c>
      <c r="O58" s="6">
        <v>502.5</v>
      </c>
      <c r="P58" s="6">
        <v>149.9</v>
      </c>
    </row>
    <row r="59" spans="1:16">
      <c r="A59" t="s">
        <v>18</v>
      </c>
      <c r="B59">
        <v>2020</v>
      </c>
      <c r="C59">
        <v>0.170565484530065</v>
      </c>
      <c r="D59" s="6">
        <v>48302</v>
      </c>
      <c r="E59" s="6">
        <v>15983.2</v>
      </c>
      <c r="F59" s="2">
        <v>0.382217372229534</v>
      </c>
      <c r="G59" s="2">
        <v>0.910289944410198</v>
      </c>
      <c r="H59" s="2">
        <v>0.05237651</v>
      </c>
      <c r="I59" s="6">
        <v>3425.07</v>
      </c>
      <c r="J59" s="6">
        <v>7464</v>
      </c>
      <c r="K59">
        <f t="shared" si="0"/>
        <v>0.458878617363344</v>
      </c>
      <c r="L59" s="2">
        <v>395.3305085</v>
      </c>
      <c r="M59" s="2">
        <v>60.07</v>
      </c>
      <c r="N59" s="6">
        <v>26.8</v>
      </c>
      <c r="O59" s="6">
        <v>509.27</v>
      </c>
      <c r="P59" s="6">
        <v>196.2</v>
      </c>
    </row>
    <row r="60" spans="1:16">
      <c r="A60" t="s">
        <v>18</v>
      </c>
      <c r="B60">
        <v>2021</v>
      </c>
      <c r="C60">
        <v>0.160409256343723</v>
      </c>
      <c r="D60" s="6">
        <v>54181</v>
      </c>
      <c r="E60" s="6">
        <v>17463.8</v>
      </c>
      <c r="F60" s="2">
        <v>0.404875597505762</v>
      </c>
      <c r="G60" s="2">
        <v>0.806743553373881</v>
      </c>
      <c r="H60" s="2">
        <v>0.05165466</v>
      </c>
      <c r="I60" s="6">
        <v>3513.42</v>
      </c>
      <c r="J60" s="6">
        <v>7448</v>
      </c>
      <c r="K60">
        <f t="shared" si="0"/>
        <v>0.471726638023631</v>
      </c>
      <c r="L60" s="2">
        <v>394.4915254</v>
      </c>
      <c r="M60" s="2">
        <v>61.14</v>
      </c>
      <c r="N60" s="6">
        <v>26.8</v>
      </c>
      <c r="O60" s="6">
        <v>351.65</v>
      </c>
      <c r="P60" s="6">
        <v>505.1</v>
      </c>
    </row>
    <row r="61" spans="1:16">
      <c r="A61" t="s">
        <v>18</v>
      </c>
      <c r="B61">
        <v>2022</v>
      </c>
      <c r="C61">
        <v>0.158067928834093</v>
      </c>
      <c r="D61" s="6">
        <v>56481</v>
      </c>
      <c r="E61" s="6">
        <v>18999.1</v>
      </c>
      <c r="F61" s="2">
        <v>0.402405924890962</v>
      </c>
      <c r="G61" s="2">
        <v>0.767953099333497</v>
      </c>
      <c r="H61" s="2">
        <v>0.072834268</v>
      </c>
      <c r="I61" s="6">
        <v>3819.68</v>
      </c>
      <c r="J61" s="6">
        <v>7420</v>
      </c>
      <c r="K61">
        <f t="shared" si="0"/>
        <v>0.51478167115903</v>
      </c>
      <c r="L61" s="2">
        <v>393.0084746</v>
      </c>
      <c r="M61" s="2">
        <v>52.342</v>
      </c>
      <c r="N61" s="6">
        <v>26.8</v>
      </c>
      <c r="O61" s="6">
        <v>318.63</v>
      </c>
      <c r="P61" s="6">
        <v>252.9</v>
      </c>
    </row>
    <row r="62" spans="1:16">
      <c r="A62" t="s">
        <v>19</v>
      </c>
      <c r="B62">
        <v>2003</v>
      </c>
      <c r="C62">
        <v>0.645111421862536</v>
      </c>
      <c r="D62" s="6">
        <v>8639</v>
      </c>
      <c r="E62" s="6">
        <v>994.7</v>
      </c>
      <c r="F62" s="2">
        <v>0.532775111235679</v>
      </c>
      <c r="G62" s="2">
        <v>3.63872052692429</v>
      </c>
      <c r="H62" s="2">
        <v>0.03840221</v>
      </c>
      <c r="I62" s="6">
        <v>965.01</v>
      </c>
      <c r="J62" s="6">
        <v>3314</v>
      </c>
      <c r="K62">
        <f t="shared" si="0"/>
        <v>0.291191913095957</v>
      </c>
      <c r="L62" s="2">
        <v>211.5054244</v>
      </c>
      <c r="M62" s="2">
        <v>38.81</v>
      </c>
      <c r="N62" s="6">
        <v>14.1</v>
      </c>
      <c r="O62" s="6">
        <v>30.75</v>
      </c>
      <c r="P62" s="6">
        <v>274.5</v>
      </c>
    </row>
    <row r="63" spans="1:16">
      <c r="A63" t="s">
        <v>19</v>
      </c>
      <c r="B63">
        <v>2004</v>
      </c>
      <c r="C63">
        <v>0.582054670848607</v>
      </c>
      <c r="D63" s="6">
        <v>10515</v>
      </c>
      <c r="E63" s="6">
        <v>1222</v>
      </c>
      <c r="F63" s="2">
        <v>0.552517162471396</v>
      </c>
      <c r="G63" s="2">
        <v>3.21824942791762</v>
      </c>
      <c r="H63" s="2">
        <v>0.03829468</v>
      </c>
      <c r="I63" s="6">
        <v>1078.99</v>
      </c>
      <c r="J63" s="6">
        <v>3335</v>
      </c>
      <c r="K63">
        <f t="shared" si="0"/>
        <v>0.323535232383808</v>
      </c>
      <c r="L63" s="2">
        <v>212.8315252</v>
      </c>
      <c r="M63" s="2">
        <v>39.63</v>
      </c>
      <c r="N63" s="6">
        <v>14.1</v>
      </c>
      <c r="O63" s="6">
        <v>33.81</v>
      </c>
      <c r="P63" s="6">
        <v>277.4</v>
      </c>
    </row>
    <row r="64" spans="1:16">
      <c r="A64" t="s">
        <v>19</v>
      </c>
      <c r="B64">
        <v>2005</v>
      </c>
      <c r="C64">
        <v>0.578824269889909</v>
      </c>
      <c r="D64" s="6">
        <v>12195</v>
      </c>
      <c r="E64" s="6">
        <v>1395.7</v>
      </c>
      <c r="F64" s="2">
        <v>0.585747904103545</v>
      </c>
      <c r="G64" s="2">
        <v>3.01806638231112</v>
      </c>
      <c r="H64" s="2">
        <v>0.03822396</v>
      </c>
      <c r="I64" s="6">
        <v>1311.97</v>
      </c>
      <c r="J64" s="6">
        <v>3355</v>
      </c>
      <c r="K64">
        <f t="shared" si="0"/>
        <v>0.391049180327869</v>
      </c>
      <c r="L64" s="2">
        <v>214.1167837</v>
      </c>
      <c r="M64" s="2">
        <v>42.11</v>
      </c>
      <c r="N64" s="6">
        <v>14.1</v>
      </c>
      <c r="O64" s="6">
        <v>37.18</v>
      </c>
      <c r="P64" s="6">
        <v>251.5</v>
      </c>
    </row>
    <row r="65" spans="1:16">
      <c r="A65" t="s">
        <v>19</v>
      </c>
      <c r="B65">
        <v>2006</v>
      </c>
      <c r="C65">
        <v>0.530065024357569</v>
      </c>
      <c r="D65" s="6">
        <v>14008</v>
      </c>
      <c r="E65" s="6">
        <v>1643</v>
      </c>
      <c r="F65" s="2">
        <v>0.593877291242363</v>
      </c>
      <c r="G65" s="2">
        <v>2.86334648676171</v>
      </c>
      <c r="H65" s="2">
        <v>0.03871221</v>
      </c>
      <c r="I65" s="6">
        <v>1526.37</v>
      </c>
      <c r="J65" s="6">
        <v>3375</v>
      </c>
      <c r="K65">
        <f t="shared" si="0"/>
        <v>0.452257777777778</v>
      </c>
      <c r="L65" s="2">
        <v>215.3509892</v>
      </c>
      <c r="M65" s="2">
        <v>43.01</v>
      </c>
      <c r="N65" s="6">
        <v>14.1</v>
      </c>
      <c r="O65" s="6">
        <v>40.89</v>
      </c>
      <c r="P65" s="6">
        <v>263.1</v>
      </c>
    </row>
    <row r="66" spans="1:16">
      <c r="A66" t="s">
        <v>19</v>
      </c>
      <c r="B66">
        <v>2007</v>
      </c>
      <c r="C66">
        <v>0.482479106836862</v>
      </c>
      <c r="D66" s="6">
        <v>17542</v>
      </c>
      <c r="E66" s="6">
        <v>1926.4</v>
      </c>
      <c r="F66" s="2">
        <v>0.606897365051553</v>
      </c>
      <c r="G66" s="2">
        <v>2.46306354875665</v>
      </c>
      <c r="H66" s="2">
        <v>0.04143737</v>
      </c>
      <c r="I66" s="6">
        <v>1760.5</v>
      </c>
      <c r="J66" s="6">
        <v>3393</v>
      </c>
      <c r="K66">
        <f t="shared" si="0"/>
        <v>0.51886236368995</v>
      </c>
      <c r="L66" s="2">
        <v>216.5015954</v>
      </c>
      <c r="M66" s="2">
        <v>44.03</v>
      </c>
      <c r="N66" s="6">
        <v>14.1</v>
      </c>
      <c r="O66" s="6">
        <v>44.97</v>
      </c>
      <c r="P66" s="6">
        <v>305.6</v>
      </c>
    </row>
    <row r="67" spans="1:16">
      <c r="A67" t="s">
        <v>19</v>
      </c>
      <c r="B67">
        <v>2008</v>
      </c>
      <c r="C67">
        <v>0.461460383503885</v>
      </c>
      <c r="D67" s="6">
        <v>21234</v>
      </c>
      <c r="E67" s="6">
        <v>2217.5</v>
      </c>
      <c r="F67" s="2">
        <v>0.607642253911117</v>
      </c>
      <c r="G67" s="2">
        <v>2.17015090682542</v>
      </c>
      <c r="H67" s="2">
        <v>0.03826305</v>
      </c>
      <c r="I67" s="6">
        <v>1793.78</v>
      </c>
      <c r="J67" s="6">
        <v>3411</v>
      </c>
      <c r="K67">
        <f t="shared" ref="K67:K130" si="1">I67/J67</f>
        <v>0.525880973321607</v>
      </c>
      <c r="L67" s="2">
        <v>217.6541161</v>
      </c>
      <c r="M67" s="2">
        <v>45.11</v>
      </c>
      <c r="N67" s="6">
        <v>14.1</v>
      </c>
      <c r="O67" s="6">
        <v>64.29</v>
      </c>
      <c r="P67" s="6">
        <v>256.9</v>
      </c>
    </row>
    <row r="68" spans="1:16">
      <c r="A68" t="s">
        <v>19</v>
      </c>
      <c r="B68">
        <v>2009</v>
      </c>
      <c r="C68">
        <v>0.439312603848468</v>
      </c>
      <c r="D68" s="6">
        <v>20906</v>
      </c>
      <c r="E68" s="6">
        <v>2343.3</v>
      </c>
      <c r="F68" s="2">
        <v>0.572387934411551</v>
      </c>
      <c r="G68" s="2">
        <v>2.17919301583748</v>
      </c>
      <c r="H68" s="2">
        <v>0.03463676</v>
      </c>
      <c r="I68" s="6">
        <v>1873.8</v>
      </c>
      <c r="J68" s="6">
        <v>3427</v>
      </c>
      <c r="K68">
        <f t="shared" si="1"/>
        <v>0.546775605485848</v>
      </c>
      <c r="L68" s="2">
        <v>218.7211232</v>
      </c>
      <c r="M68" s="2">
        <v>45.99</v>
      </c>
      <c r="N68" s="6">
        <v>18</v>
      </c>
      <c r="O68" s="6">
        <v>70.61</v>
      </c>
      <c r="P68" s="6">
        <v>250.8</v>
      </c>
    </row>
    <row r="69" spans="1:16">
      <c r="A69" t="s">
        <v>19</v>
      </c>
      <c r="B69">
        <v>2010</v>
      </c>
      <c r="C69">
        <v>0.333295246909339</v>
      </c>
      <c r="D69" s="6">
        <v>25434</v>
      </c>
      <c r="E69" s="6">
        <v>2955.9</v>
      </c>
      <c r="F69" s="2">
        <v>0.600815373038781</v>
      </c>
      <c r="G69" s="2">
        <v>1.88771549545705</v>
      </c>
      <c r="H69" s="2">
        <v>0.0347629</v>
      </c>
      <c r="I69" s="6">
        <v>2151</v>
      </c>
      <c r="J69" s="6">
        <v>3574</v>
      </c>
      <c r="K69">
        <f t="shared" si="1"/>
        <v>0.601846670397314</v>
      </c>
      <c r="L69" s="2">
        <v>228.0861519</v>
      </c>
      <c r="M69" s="2">
        <v>48.05</v>
      </c>
      <c r="N69" s="6">
        <v>18</v>
      </c>
      <c r="O69" s="6">
        <v>82.37</v>
      </c>
      <c r="P69" s="6">
        <v>261.5</v>
      </c>
    </row>
    <row r="70" spans="1:16">
      <c r="A70" t="s">
        <v>19</v>
      </c>
      <c r="B70">
        <v>2011</v>
      </c>
      <c r="C70">
        <v>0.305506068600531</v>
      </c>
      <c r="D70" s="6">
        <v>30534</v>
      </c>
      <c r="E70" s="6">
        <v>3492.5</v>
      </c>
      <c r="F70" s="2">
        <v>0.619602731678661</v>
      </c>
      <c r="G70" s="2">
        <v>1.68113893376414</v>
      </c>
      <c r="H70" s="2">
        <v>0.03509577</v>
      </c>
      <c r="I70" s="6">
        <v>2343.97</v>
      </c>
      <c r="J70" s="6">
        <v>3562</v>
      </c>
      <c r="K70">
        <f t="shared" si="1"/>
        <v>0.658048848961258</v>
      </c>
      <c r="L70" s="2">
        <v>227.3133376</v>
      </c>
      <c r="M70" s="2">
        <v>49.79</v>
      </c>
      <c r="N70" s="6">
        <v>18</v>
      </c>
      <c r="O70" s="6">
        <v>82.18</v>
      </c>
      <c r="P70" s="6">
        <v>347</v>
      </c>
    </row>
    <row r="71" spans="1:16">
      <c r="A71" t="s">
        <v>19</v>
      </c>
      <c r="B71">
        <v>2012</v>
      </c>
      <c r="C71">
        <v>0.300041374400089</v>
      </c>
      <c r="D71" s="6">
        <v>32864</v>
      </c>
      <c r="E71" s="6">
        <v>3900.7</v>
      </c>
      <c r="F71" s="2">
        <v>0.586548090832057</v>
      </c>
      <c r="G71" s="2">
        <v>1.65500509282639</v>
      </c>
      <c r="H71" s="2">
        <v>0.03560663</v>
      </c>
      <c r="I71" s="6">
        <v>2454.8</v>
      </c>
      <c r="J71" s="6">
        <v>3548</v>
      </c>
      <c r="K71">
        <f t="shared" si="1"/>
        <v>0.691882750845547</v>
      </c>
      <c r="L71" s="2">
        <v>226.4199107</v>
      </c>
      <c r="M71" s="2">
        <v>51.32</v>
      </c>
      <c r="N71" s="6">
        <v>18</v>
      </c>
      <c r="O71" s="6">
        <v>88.17</v>
      </c>
      <c r="P71" s="6">
        <v>295</v>
      </c>
    </row>
    <row r="72" spans="1:16">
      <c r="A72" t="s">
        <v>19</v>
      </c>
      <c r="B72">
        <v>2013</v>
      </c>
      <c r="C72">
        <v>0.298222386552289</v>
      </c>
      <c r="D72" s="6">
        <v>33848</v>
      </c>
      <c r="E72" s="6">
        <v>4372.7</v>
      </c>
      <c r="F72" s="2">
        <v>0.55761979444741</v>
      </c>
      <c r="G72" s="2">
        <v>1.64850840896957</v>
      </c>
      <c r="H72" s="2">
        <v>0.03429865</v>
      </c>
      <c r="I72" s="6">
        <v>2641.11</v>
      </c>
      <c r="J72" s="6">
        <v>3535</v>
      </c>
      <c r="K72">
        <f t="shared" si="1"/>
        <v>0.747131541725601</v>
      </c>
      <c r="L72" s="2">
        <v>225.5902999</v>
      </c>
      <c r="M72" s="2">
        <v>52.88</v>
      </c>
      <c r="N72" s="6">
        <v>18</v>
      </c>
      <c r="O72" s="6">
        <v>98.16</v>
      </c>
      <c r="P72" s="6">
        <v>349.6</v>
      </c>
    </row>
    <row r="73" spans="1:16">
      <c r="A73" t="s">
        <v>19</v>
      </c>
      <c r="B73">
        <v>2014</v>
      </c>
      <c r="C73">
        <v>0.304749568153123</v>
      </c>
      <c r="D73" s="6">
        <v>34248</v>
      </c>
      <c r="E73" s="6">
        <v>4569.7</v>
      </c>
      <c r="F73" s="2">
        <v>0.527338420961248</v>
      </c>
      <c r="G73" s="2">
        <v>1.64226975452057</v>
      </c>
      <c r="H73" s="2">
        <v>0.03275949</v>
      </c>
      <c r="I73" s="6">
        <v>2647.02</v>
      </c>
      <c r="J73" s="6">
        <v>3528</v>
      </c>
      <c r="K73">
        <f t="shared" si="1"/>
        <v>0.750289115646259</v>
      </c>
      <c r="L73" s="2">
        <v>225.1435865</v>
      </c>
      <c r="M73" s="2">
        <v>54.3</v>
      </c>
      <c r="N73" s="6">
        <v>20.5</v>
      </c>
      <c r="O73" s="6">
        <v>95.26</v>
      </c>
      <c r="P73" s="6">
        <v>305.1</v>
      </c>
    </row>
    <row r="74" spans="1:16">
      <c r="A74" t="s">
        <v>19</v>
      </c>
      <c r="B74">
        <v>2015</v>
      </c>
      <c r="C74">
        <v>0.342795198383415</v>
      </c>
      <c r="D74" s="6">
        <v>33593</v>
      </c>
      <c r="E74" s="6">
        <v>5251.4</v>
      </c>
      <c r="F74" s="2">
        <v>0.440987124463519</v>
      </c>
      <c r="G74" s="2">
        <v>1.6076678719881</v>
      </c>
      <c r="H74" s="2">
        <v>0.0305132</v>
      </c>
      <c r="I74" s="6">
        <v>2449</v>
      </c>
      <c r="J74" s="6">
        <v>3519</v>
      </c>
      <c r="K74">
        <f t="shared" si="1"/>
        <v>0.695936345552714</v>
      </c>
      <c r="L74" s="2">
        <v>224.5692406</v>
      </c>
      <c r="M74" s="2">
        <v>55.87</v>
      </c>
      <c r="N74" s="6">
        <v>20.5</v>
      </c>
      <c r="O74" s="6">
        <v>99.46</v>
      </c>
      <c r="P74" s="6">
        <v>257.1</v>
      </c>
    </row>
    <row r="75" spans="1:16">
      <c r="A75" t="s">
        <v>19</v>
      </c>
      <c r="B75">
        <v>2016</v>
      </c>
      <c r="C75">
        <v>0.243818142399014</v>
      </c>
      <c r="D75" s="6">
        <v>33972</v>
      </c>
      <c r="E75" s="6">
        <v>5533.3</v>
      </c>
      <c r="F75" s="2">
        <v>0.428045268867609</v>
      </c>
      <c r="G75" s="2">
        <v>1.58826089868077</v>
      </c>
      <c r="H75" s="2">
        <v>0.03007979</v>
      </c>
      <c r="I75" s="6">
        <v>2535.08</v>
      </c>
      <c r="J75" s="6">
        <v>3514</v>
      </c>
      <c r="K75">
        <f t="shared" si="1"/>
        <v>0.721422879908936</v>
      </c>
      <c r="L75" s="2">
        <v>224.2501595</v>
      </c>
      <c r="M75" s="2">
        <v>57.27</v>
      </c>
      <c r="N75" s="6">
        <v>20.5</v>
      </c>
      <c r="O75" s="6">
        <v>115.54</v>
      </c>
      <c r="P75" s="6">
        <v>365.1</v>
      </c>
    </row>
    <row r="76" spans="1:16">
      <c r="A76" t="s">
        <v>19</v>
      </c>
      <c r="B76">
        <v>2017</v>
      </c>
      <c r="C76">
        <v>0.242078736024268</v>
      </c>
      <c r="D76" s="6">
        <v>41242</v>
      </c>
      <c r="E76" s="6">
        <v>6694.4</v>
      </c>
      <c r="F76" s="2">
        <v>0.458102911428236</v>
      </c>
      <c r="G76" s="2">
        <v>1.35187755017502</v>
      </c>
      <c r="H76" s="2">
        <v>0.03155868</v>
      </c>
      <c r="I76" s="6">
        <v>2823.94</v>
      </c>
      <c r="J76" s="6">
        <v>3510</v>
      </c>
      <c r="K76">
        <f t="shared" si="1"/>
        <v>0.804541310541311</v>
      </c>
      <c r="L76" s="2">
        <v>223.9948947</v>
      </c>
      <c r="M76" s="2">
        <v>58.59</v>
      </c>
      <c r="N76" s="6">
        <v>20.5</v>
      </c>
      <c r="O76" s="6">
        <v>128.87</v>
      </c>
      <c r="P76" s="6">
        <v>352.7</v>
      </c>
    </row>
    <row r="77" spans="1:16">
      <c r="A77" t="s">
        <v>19</v>
      </c>
      <c r="B77">
        <v>2018</v>
      </c>
      <c r="C77">
        <v>0.234769833034865</v>
      </c>
      <c r="D77" s="6">
        <v>45517</v>
      </c>
      <c r="E77" s="6">
        <v>7605.7</v>
      </c>
      <c r="F77" s="2">
        <v>0.44331718688315</v>
      </c>
      <c r="G77" s="2">
        <v>1.26575218854375</v>
      </c>
      <c r="H77" s="2">
        <v>0.03131114</v>
      </c>
      <c r="I77" s="6">
        <v>3180.52</v>
      </c>
      <c r="J77" s="6">
        <v>3502</v>
      </c>
      <c r="K77">
        <f t="shared" si="1"/>
        <v>0.908201027984009</v>
      </c>
      <c r="L77" s="2">
        <v>223.484365</v>
      </c>
      <c r="M77" s="2">
        <v>59.85</v>
      </c>
      <c r="N77" s="6">
        <v>20.5</v>
      </c>
      <c r="O77" s="6">
        <v>170.29</v>
      </c>
      <c r="P77" s="6">
        <v>328.6</v>
      </c>
    </row>
    <row r="78" spans="1:16">
      <c r="A78" t="s">
        <v>19</v>
      </c>
      <c r="B78">
        <v>2019</v>
      </c>
      <c r="C78">
        <v>0.235732190633088</v>
      </c>
      <c r="D78" s="6">
        <v>48469</v>
      </c>
      <c r="E78" s="6">
        <v>8641</v>
      </c>
      <c r="F78" s="2">
        <v>0.440188425620225</v>
      </c>
      <c r="G78" s="2">
        <v>1.22977785114612</v>
      </c>
      <c r="H78" s="2">
        <v>0.03120569</v>
      </c>
      <c r="I78" s="6">
        <v>3361.67</v>
      </c>
      <c r="J78" s="6">
        <v>3497</v>
      </c>
      <c r="K78">
        <f t="shared" si="1"/>
        <v>0.961301115241636</v>
      </c>
      <c r="L78" s="2">
        <v>223.165284</v>
      </c>
      <c r="M78" s="2">
        <v>61.29</v>
      </c>
      <c r="N78" s="6">
        <v>20.5</v>
      </c>
      <c r="O78" s="6">
        <v>226.15</v>
      </c>
      <c r="P78" s="6">
        <v>261.3</v>
      </c>
    </row>
    <row r="79" spans="1:16">
      <c r="A79" t="s">
        <v>19</v>
      </c>
      <c r="B79">
        <v>2020</v>
      </c>
      <c r="C79">
        <v>0.226415262011914</v>
      </c>
      <c r="D79" s="6">
        <v>51051</v>
      </c>
      <c r="E79" s="6">
        <v>9817.1</v>
      </c>
      <c r="F79" s="2">
        <v>0.43190024445491</v>
      </c>
      <c r="G79" s="2">
        <v>1.17632992442082</v>
      </c>
      <c r="H79" s="2">
        <v>0.03118093</v>
      </c>
      <c r="I79" s="6">
        <v>3503.54</v>
      </c>
      <c r="J79" s="6">
        <v>3490</v>
      </c>
      <c r="K79">
        <f t="shared" si="1"/>
        <v>1.00387965616046</v>
      </c>
      <c r="L79" s="2">
        <v>222.7434588</v>
      </c>
      <c r="M79" s="2">
        <v>62.53</v>
      </c>
      <c r="N79" s="6">
        <v>20.5</v>
      </c>
      <c r="O79" s="6">
        <v>260.28</v>
      </c>
      <c r="P79" s="6">
        <v>329.8</v>
      </c>
    </row>
    <row r="80" spans="1:16">
      <c r="A80" t="s">
        <v>19</v>
      </c>
      <c r="B80">
        <v>2021</v>
      </c>
      <c r="C80">
        <v>0.229546156284048</v>
      </c>
      <c r="D80" s="6">
        <v>65625</v>
      </c>
      <c r="E80" s="6">
        <v>11153.2</v>
      </c>
      <c r="F80" s="2">
        <v>0.506248251014412</v>
      </c>
      <c r="G80" s="2">
        <v>0.946373478382538</v>
      </c>
      <c r="H80" s="2">
        <v>0.03137293</v>
      </c>
      <c r="I80" s="6">
        <v>3926.16</v>
      </c>
      <c r="J80" s="6">
        <v>3480</v>
      </c>
      <c r="K80">
        <f t="shared" si="1"/>
        <v>1.12820689655172</v>
      </c>
      <c r="L80" s="2">
        <v>222.1110402</v>
      </c>
      <c r="M80" s="2">
        <v>63.42</v>
      </c>
      <c r="N80" s="6">
        <v>20.5</v>
      </c>
      <c r="O80" s="6">
        <v>214.79</v>
      </c>
      <c r="P80" s="6">
        <v>596.6</v>
      </c>
    </row>
    <row r="81" spans="1:16">
      <c r="A81" t="s">
        <v>19</v>
      </c>
      <c r="B81">
        <v>2022</v>
      </c>
      <c r="C81">
        <v>0.227081415375517</v>
      </c>
      <c r="D81" s="6">
        <v>73506</v>
      </c>
      <c r="E81" s="6">
        <v>12671.2</v>
      </c>
      <c r="F81" s="2">
        <v>0.539761958615741</v>
      </c>
      <c r="G81" s="2">
        <v>0.763675276621926</v>
      </c>
      <c r="H81" s="2">
        <v>0.072527688</v>
      </c>
      <c r="I81" s="6">
        <v>4249.48</v>
      </c>
      <c r="J81" s="6">
        <v>3481</v>
      </c>
      <c r="K81">
        <f t="shared" si="1"/>
        <v>1.22076414823327</v>
      </c>
      <c r="L81" s="2">
        <v>222.1665603</v>
      </c>
      <c r="M81" s="2">
        <v>60.124</v>
      </c>
      <c r="N81" s="6">
        <v>20.5</v>
      </c>
      <c r="O81" s="6">
        <v>241.18</v>
      </c>
      <c r="P81" s="6">
        <v>441</v>
      </c>
    </row>
    <row r="82" spans="1:16">
      <c r="A82" t="s">
        <v>20</v>
      </c>
      <c r="B82">
        <v>2003</v>
      </c>
      <c r="C82">
        <v>0.593038558361304</v>
      </c>
      <c r="D82" s="6">
        <v>10015</v>
      </c>
      <c r="E82" s="6">
        <v>850.1</v>
      </c>
      <c r="F82" s="2">
        <v>0.35207670406967</v>
      </c>
      <c r="G82" s="2">
        <v>2.41912996148049</v>
      </c>
      <c r="H82" s="2">
        <v>0.02205215</v>
      </c>
      <c r="I82" s="6">
        <v>647.73</v>
      </c>
      <c r="J82" s="6">
        <v>2386</v>
      </c>
      <c r="K82">
        <f t="shared" si="1"/>
        <v>0.271471081307628</v>
      </c>
      <c r="L82" s="2">
        <v>20.16720203</v>
      </c>
      <c r="M82" s="2">
        <v>44.62</v>
      </c>
      <c r="N82" s="6">
        <v>20</v>
      </c>
      <c r="O82" s="6">
        <v>39.17</v>
      </c>
      <c r="P82" s="6">
        <v>1888.3</v>
      </c>
    </row>
    <row r="83" spans="1:16">
      <c r="A83" t="s">
        <v>20</v>
      </c>
      <c r="B83">
        <v>2004</v>
      </c>
      <c r="C83">
        <v>0.554137118270132</v>
      </c>
      <c r="D83" s="6">
        <v>12315</v>
      </c>
      <c r="E83" s="6">
        <v>965.8</v>
      </c>
      <c r="F83" s="2">
        <v>0.353860793909734</v>
      </c>
      <c r="G83" s="2">
        <v>2.59058591625884</v>
      </c>
      <c r="H83" s="2">
        <v>0.02438462</v>
      </c>
      <c r="I83" s="6">
        <v>816.44</v>
      </c>
      <c r="J83" s="6">
        <v>2393</v>
      </c>
      <c r="K83">
        <f t="shared" si="1"/>
        <v>0.341178437108232</v>
      </c>
      <c r="L83" s="2">
        <v>20.22535926</v>
      </c>
      <c r="M83" s="2">
        <v>45.7</v>
      </c>
      <c r="N83" s="6">
        <v>20</v>
      </c>
      <c r="O83" s="6">
        <v>43.3</v>
      </c>
      <c r="P83" s="6">
        <v>1835.6</v>
      </c>
    </row>
    <row r="84" spans="1:16">
      <c r="A84" t="s">
        <v>20</v>
      </c>
      <c r="B84">
        <v>2005</v>
      </c>
      <c r="C84">
        <v>0.535735491510174</v>
      </c>
      <c r="D84" s="6">
        <v>14695</v>
      </c>
      <c r="E84" s="6">
        <v>1191.1</v>
      </c>
      <c r="F84" s="2">
        <v>0.391009450293725</v>
      </c>
      <c r="G84" s="2">
        <v>2.73649856684735</v>
      </c>
      <c r="H84" s="2">
        <v>0.02697048</v>
      </c>
      <c r="I84" s="6">
        <v>1056.59</v>
      </c>
      <c r="J84" s="6">
        <v>2403</v>
      </c>
      <c r="K84">
        <f t="shared" si="1"/>
        <v>0.439696213067</v>
      </c>
      <c r="L84" s="2">
        <v>20.313694</v>
      </c>
      <c r="M84" s="2">
        <v>47.2</v>
      </c>
      <c r="N84" s="6">
        <v>20</v>
      </c>
      <c r="O84" s="6">
        <v>48.28</v>
      </c>
      <c r="P84" s="6">
        <v>1917.3</v>
      </c>
    </row>
    <row r="85" spans="1:16">
      <c r="A85" t="s">
        <v>20</v>
      </c>
      <c r="B85">
        <v>2006</v>
      </c>
      <c r="C85">
        <v>0.526455666349321</v>
      </c>
      <c r="D85" s="6">
        <v>17275</v>
      </c>
      <c r="E85" s="6">
        <v>1384.3</v>
      </c>
      <c r="F85" s="2">
        <v>0.413859387764909</v>
      </c>
      <c r="G85" s="2">
        <v>2.682279302225</v>
      </c>
      <c r="H85" s="2">
        <v>0.03120841</v>
      </c>
      <c r="I85" s="6">
        <v>1412.54</v>
      </c>
      <c r="J85" s="6">
        <v>2415</v>
      </c>
      <c r="K85">
        <f t="shared" si="1"/>
        <v>0.584902691511387</v>
      </c>
      <c r="L85" s="2">
        <v>20.41462384</v>
      </c>
      <c r="M85" s="2">
        <v>48.64</v>
      </c>
      <c r="N85" s="6">
        <v>20</v>
      </c>
      <c r="O85" s="6">
        <v>54.33</v>
      </c>
      <c r="P85" s="6">
        <v>1719.8</v>
      </c>
    </row>
    <row r="86" spans="1:16">
      <c r="A86" t="s">
        <v>20</v>
      </c>
      <c r="B86">
        <v>2007</v>
      </c>
      <c r="C86">
        <v>0.487068873785774</v>
      </c>
      <c r="D86" s="6">
        <v>21334</v>
      </c>
      <c r="E86" s="6">
        <v>1693.3</v>
      </c>
      <c r="F86" s="2">
        <v>0.410826607830614</v>
      </c>
      <c r="G86" s="2">
        <v>2.46245137316379</v>
      </c>
      <c r="H86" s="2">
        <v>0.03564334</v>
      </c>
      <c r="I86" s="6">
        <v>1931.95</v>
      </c>
      <c r="J86" s="6">
        <v>2429</v>
      </c>
      <c r="K86">
        <f t="shared" si="1"/>
        <v>0.795368464388637</v>
      </c>
      <c r="L86" s="2">
        <v>20.53110735</v>
      </c>
      <c r="M86" s="2">
        <v>50.15</v>
      </c>
      <c r="N86" s="6">
        <v>20</v>
      </c>
      <c r="O86" s="6">
        <v>61.73</v>
      </c>
      <c r="P86" s="6">
        <v>1232.2</v>
      </c>
    </row>
    <row r="87" spans="1:16">
      <c r="A87" t="s">
        <v>20</v>
      </c>
      <c r="B87">
        <v>2008</v>
      </c>
      <c r="C87">
        <v>0.498068386300968</v>
      </c>
      <c r="D87" s="6">
        <v>25620</v>
      </c>
      <c r="E87" s="6">
        <v>2035.5</v>
      </c>
      <c r="F87" s="2">
        <v>0.409313725490196</v>
      </c>
      <c r="G87" s="2">
        <v>2.25874663590927</v>
      </c>
      <c r="H87" s="2">
        <v>0.03553353</v>
      </c>
      <c r="I87" s="6">
        <v>2183.85</v>
      </c>
      <c r="J87" s="6">
        <v>2444</v>
      </c>
      <c r="K87">
        <f t="shared" si="1"/>
        <v>0.893555646481178</v>
      </c>
      <c r="L87" s="2">
        <v>20.66213018</v>
      </c>
      <c r="M87" s="2">
        <v>51.71</v>
      </c>
      <c r="N87" s="6">
        <v>20</v>
      </c>
      <c r="O87" s="6">
        <v>79.68</v>
      </c>
      <c r="P87" s="6">
        <v>1710.3</v>
      </c>
    </row>
    <row r="88" spans="1:16">
      <c r="A88" t="s">
        <v>20</v>
      </c>
      <c r="B88">
        <v>2009</v>
      </c>
      <c r="C88">
        <v>0.497213058398462</v>
      </c>
      <c r="D88" s="6">
        <v>28982</v>
      </c>
      <c r="E88" s="6">
        <v>2318.8</v>
      </c>
      <c r="F88" s="2">
        <v>0.410461417189831</v>
      </c>
      <c r="G88" s="2">
        <v>2.15984910334732</v>
      </c>
      <c r="H88" s="2">
        <v>0.03519388</v>
      </c>
      <c r="I88" s="6">
        <v>2242.37</v>
      </c>
      <c r="J88" s="6">
        <v>2458</v>
      </c>
      <c r="K88">
        <f t="shared" si="1"/>
        <v>0.912274206672091</v>
      </c>
      <c r="L88" s="2">
        <v>20.77954353</v>
      </c>
      <c r="M88" s="2">
        <v>53.4</v>
      </c>
      <c r="N88" s="6">
        <v>21</v>
      </c>
      <c r="O88" s="6">
        <v>97.9</v>
      </c>
      <c r="P88" s="6">
        <v>1563.9</v>
      </c>
    </row>
    <row r="89" spans="1:16">
      <c r="A89" t="s">
        <v>20</v>
      </c>
      <c r="B89">
        <v>2010</v>
      </c>
      <c r="C89">
        <v>0.476943146829973</v>
      </c>
      <c r="D89" s="6">
        <v>33262</v>
      </c>
      <c r="E89" s="6">
        <v>2693.3</v>
      </c>
      <c r="F89" s="2">
        <v>0.417139233405285</v>
      </c>
      <c r="G89" s="2">
        <v>2.05128111318431</v>
      </c>
      <c r="H89" s="2">
        <v>0.03659224</v>
      </c>
      <c r="I89" s="6">
        <v>2489.28</v>
      </c>
      <c r="J89" s="6">
        <v>2472</v>
      </c>
      <c r="K89">
        <f t="shared" si="1"/>
        <v>1.00699029126214</v>
      </c>
      <c r="L89" s="2">
        <v>20.89754861</v>
      </c>
      <c r="M89" s="2">
        <v>55.5</v>
      </c>
      <c r="N89" s="6">
        <v>21</v>
      </c>
      <c r="O89" s="6">
        <v>107.99</v>
      </c>
      <c r="P89" s="6">
        <v>1576.1</v>
      </c>
    </row>
    <row r="90" spans="1:16">
      <c r="A90" t="s">
        <v>20</v>
      </c>
      <c r="B90">
        <v>2011</v>
      </c>
      <c r="C90">
        <v>0.424096926274274</v>
      </c>
      <c r="D90" s="6">
        <v>38276</v>
      </c>
      <c r="E90" s="6">
        <v>3285.5</v>
      </c>
      <c r="F90" s="2">
        <v>0.427570019348495</v>
      </c>
      <c r="G90" s="2">
        <v>1.98105327708525</v>
      </c>
      <c r="H90" s="2">
        <v>0.03963923</v>
      </c>
      <c r="I90" s="6">
        <v>2972.83</v>
      </c>
      <c r="J90" s="6">
        <v>2470</v>
      </c>
      <c r="K90">
        <f t="shared" si="1"/>
        <v>1.20357489878543</v>
      </c>
      <c r="L90" s="2">
        <v>20.87912088</v>
      </c>
      <c r="M90" s="2">
        <v>57.04</v>
      </c>
      <c r="N90" s="6">
        <v>21</v>
      </c>
      <c r="O90" s="6">
        <v>117.55</v>
      </c>
      <c r="P90" s="6">
        <v>1691.6</v>
      </c>
    </row>
    <row r="91" spans="1:16">
      <c r="A91" t="s">
        <v>20</v>
      </c>
      <c r="B91">
        <v>2012</v>
      </c>
      <c r="C91">
        <v>0.399032269866659</v>
      </c>
      <c r="D91" s="6">
        <v>42441</v>
      </c>
      <c r="E91" s="6">
        <v>3777.3</v>
      </c>
      <c r="F91" s="2">
        <v>0.434914661751082</v>
      </c>
      <c r="G91" s="2">
        <v>1.8897345775112</v>
      </c>
      <c r="H91" s="2">
        <v>0.04066751</v>
      </c>
      <c r="I91" s="6">
        <v>3116.9</v>
      </c>
      <c r="J91" s="6">
        <v>2464</v>
      </c>
      <c r="K91">
        <f t="shared" si="1"/>
        <v>1.26497564935065</v>
      </c>
      <c r="L91" s="2">
        <v>20.82840237</v>
      </c>
      <c r="M91" s="2">
        <v>58.42</v>
      </c>
      <c r="N91" s="6">
        <v>21</v>
      </c>
      <c r="O91" s="6">
        <v>131.59</v>
      </c>
      <c r="P91" s="6">
        <v>2052.7</v>
      </c>
    </row>
    <row r="92" spans="1:16">
      <c r="A92" t="s">
        <v>20</v>
      </c>
      <c r="B92">
        <v>2013</v>
      </c>
      <c r="C92">
        <v>0.365170859645843</v>
      </c>
      <c r="D92" s="6">
        <v>46320</v>
      </c>
      <c r="E92" s="6">
        <v>4281.3</v>
      </c>
      <c r="F92" s="2">
        <v>0.427486745549665</v>
      </c>
      <c r="G92" s="2">
        <v>1.55199957866648</v>
      </c>
      <c r="H92" s="2">
        <v>0.04084166</v>
      </c>
      <c r="I92" s="6">
        <v>3567.14</v>
      </c>
      <c r="J92" s="6">
        <v>2455</v>
      </c>
      <c r="K92">
        <f t="shared" si="1"/>
        <v>1.45301018329939</v>
      </c>
      <c r="L92" s="2">
        <v>20.7523246</v>
      </c>
      <c r="M92" s="2">
        <v>59.82</v>
      </c>
      <c r="N92" s="6">
        <v>21</v>
      </c>
      <c r="O92" s="6">
        <v>132.11</v>
      </c>
      <c r="P92" s="6">
        <v>3848.6</v>
      </c>
    </row>
    <row r="93" spans="1:16">
      <c r="A93" t="s">
        <v>20</v>
      </c>
      <c r="B93">
        <v>2014</v>
      </c>
      <c r="C93">
        <v>0.357069962562495</v>
      </c>
      <c r="D93" s="6">
        <v>49585</v>
      </c>
      <c r="E93" s="6">
        <v>4959.2</v>
      </c>
      <c r="F93" s="2">
        <v>0.42065437318024</v>
      </c>
      <c r="G93" s="2">
        <v>1.50590218946884</v>
      </c>
      <c r="H93" s="2">
        <v>0.04343787</v>
      </c>
      <c r="I93" s="6">
        <v>3857.81</v>
      </c>
      <c r="J93" s="6">
        <v>2449</v>
      </c>
      <c r="K93">
        <f t="shared" si="1"/>
        <v>1.57525928950592</v>
      </c>
      <c r="L93" s="2">
        <v>20.70160609</v>
      </c>
      <c r="M93" s="2">
        <v>60.97</v>
      </c>
      <c r="N93" s="6">
        <v>22.1</v>
      </c>
      <c r="O93" s="6">
        <v>142.75</v>
      </c>
      <c r="P93" s="6">
        <v>2149.9</v>
      </c>
    </row>
    <row r="94" spans="1:16">
      <c r="A94" t="s">
        <v>20</v>
      </c>
      <c r="B94">
        <v>2015</v>
      </c>
      <c r="C94">
        <v>0.371968783110518</v>
      </c>
      <c r="D94" s="6">
        <v>52972</v>
      </c>
      <c r="E94" s="6">
        <v>5225.2</v>
      </c>
      <c r="F94" s="2">
        <v>0.406942621051819</v>
      </c>
      <c r="G94" s="2">
        <v>1.45061394702294</v>
      </c>
      <c r="H94" s="2">
        <v>0.04466431</v>
      </c>
      <c r="I94" s="6">
        <v>3929</v>
      </c>
      <c r="J94" s="6">
        <v>2440</v>
      </c>
      <c r="K94">
        <f t="shared" si="1"/>
        <v>1.61024590163934</v>
      </c>
      <c r="L94" s="2">
        <v>20.62552832</v>
      </c>
      <c r="M94" s="2">
        <v>62.09</v>
      </c>
      <c r="N94" s="6">
        <v>22.1</v>
      </c>
      <c r="O94" s="6">
        <v>175.25</v>
      </c>
      <c r="P94" s="6">
        <v>2141.2</v>
      </c>
    </row>
    <row r="95" spans="1:16">
      <c r="A95" t="s">
        <v>20</v>
      </c>
      <c r="B95">
        <v>2016</v>
      </c>
      <c r="C95">
        <v>0.27381727596974</v>
      </c>
      <c r="D95" s="6">
        <v>56560</v>
      </c>
      <c r="E95" s="6">
        <v>5608</v>
      </c>
      <c r="F95" s="2">
        <v>0.404647081432705</v>
      </c>
      <c r="G95" s="2">
        <v>1.400361149587</v>
      </c>
      <c r="H95" s="2">
        <v>0.04360096</v>
      </c>
      <c r="I95" s="6">
        <v>3949.81</v>
      </c>
      <c r="J95" s="6">
        <v>2436</v>
      </c>
      <c r="K95">
        <f t="shared" si="1"/>
        <v>1.62143267651888</v>
      </c>
      <c r="L95" s="2">
        <v>20.59171598</v>
      </c>
      <c r="M95" s="2">
        <v>63.4</v>
      </c>
      <c r="N95" s="6">
        <v>22.1</v>
      </c>
      <c r="O95" s="6">
        <v>159.39</v>
      </c>
      <c r="P95" s="6">
        <v>1695.5</v>
      </c>
    </row>
    <row r="96" spans="1:16">
      <c r="A96" t="s">
        <v>20</v>
      </c>
      <c r="B96">
        <v>2017</v>
      </c>
      <c r="C96">
        <v>0.267151154533924</v>
      </c>
      <c r="D96" s="6">
        <v>61196</v>
      </c>
      <c r="E96" s="6">
        <v>6035.7</v>
      </c>
      <c r="F96" s="2">
        <v>0.394298601835133</v>
      </c>
      <c r="G96" s="2">
        <v>1.32654499567059</v>
      </c>
      <c r="H96" s="2">
        <v>0.045847</v>
      </c>
      <c r="I96" s="6">
        <v>4435.94</v>
      </c>
      <c r="J96" s="6">
        <v>2433</v>
      </c>
      <c r="K96">
        <f t="shared" si="1"/>
        <v>1.82323879983559</v>
      </c>
      <c r="L96" s="2">
        <v>20.56635672</v>
      </c>
      <c r="M96" s="2">
        <v>64.6</v>
      </c>
      <c r="N96" s="6">
        <v>22.1</v>
      </c>
      <c r="O96" s="6">
        <v>143.67</v>
      </c>
      <c r="P96" s="6">
        <v>1227.5</v>
      </c>
    </row>
    <row r="97" spans="1:16">
      <c r="A97" t="s">
        <v>20</v>
      </c>
      <c r="B97">
        <v>2018</v>
      </c>
      <c r="C97">
        <v>0.259001412687821</v>
      </c>
      <c r="D97" s="6">
        <v>66491</v>
      </c>
      <c r="E97" s="6">
        <v>6487.5</v>
      </c>
      <c r="F97" s="2">
        <v>0.392508425852498</v>
      </c>
      <c r="G97" s="2">
        <v>1.42917327517843</v>
      </c>
      <c r="H97" s="2">
        <v>0.04859925</v>
      </c>
      <c r="I97" s="6">
        <v>5002.96</v>
      </c>
      <c r="J97" s="6">
        <v>2422</v>
      </c>
      <c r="K97">
        <f t="shared" si="1"/>
        <v>2.06563170933113</v>
      </c>
      <c r="L97" s="2">
        <v>20.47337278</v>
      </c>
      <c r="M97" s="2">
        <v>65.51</v>
      </c>
      <c r="N97" s="6">
        <v>22.1</v>
      </c>
      <c r="O97" s="6">
        <v>162.72</v>
      </c>
      <c r="P97" s="6">
        <v>1823</v>
      </c>
    </row>
    <row r="98" spans="1:16">
      <c r="A98" t="s">
        <v>20</v>
      </c>
      <c r="B98">
        <v>2019</v>
      </c>
      <c r="C98">
        <v>0.243347091786448</v>
      </c>
      <c r="D98" s="6">
        <v>71170</v>
      </c>
      <c r="E98" s="6">
        <v>6959</v>
      </c>
      <c r="F98" s="2">
        <v>0.392917937545389</v>
      </c>
      <c r="G98" s="2">
        <v>1.47253449527959</v>
      </c>
      <c r="H98" s="2">
        <v>0.05039777</v>
      </c>
      <c r="I98" s="6">
        <v>5495.08</v>
      </c>
      <c r="J98" s="6">
        <v>2415</v>
      </c>
      <c r="K98">
        <f t="shared" si="1"/>
        <v>2.27539544513458</v>
      </c>
      <c r="L98" s="2">
        <v>20.41420118</v>
      </c>
      <c r="M98" s="2">
        <v>66.46</v>
      </c>
      <c r="N98" s="6">
        <v>22.1</v>
      </c>
      <c r="O98" s="6">
        <v>154.48</v>
      </c>
      <c r="P98" s="6">
        <v>1765.5</v>
      </c>
    </row>
    <row r="99" spans="1:16">
      <c r="A99" t="s">
        <v>20</v>
      </c>
      <c r="B99">
        <v>2020</v>
      </c>
      <c r="C99">
        <v>0.231564002689314</v>
      </c>
      <c r="D99" s="6">
        <v>71640</v>
      </c>
      <c r="E99" s="6">
        <v>7450.1</v>
      </c>
      <c r="F99" s="2">
        <v>0.400289720709236</v>
      </c>
      <c r="G99" s="2">
        <v>1.57223606443389</v>
      </c>
      <c r="H99" s="2">
        <v>0.05192385</v>
      </c>
      <c r="I99" s="6">
        <v>5810.97</v>
      </c>
      <c r="J99" s="6">
        <v>2403</v>
      </c>
      <c r="K99">
        <f t="shared" si="1"/>
        <v>2.41821473158552</v>
      </c>
      <c r="L99" s="2">
        <v>20.31107354</v>
      </c>
      <c r="M99" s="2">
        <v>67.48</v>
      </c>
      <c r="N99" s="6">
        <v>22.1</v>
      </c>
      <c r="O99" s="6">
        <v>149.37</v>
      </c>
      <c r="P99" s="6">
        <v>2091.7</v>
      </c>
    </row>
    <row r="100" spans="1:16">
      <c r="A100" t="s">
        <v>20</v>
      </c>
      <c r="B100">
        <v>2021</v>
      </c>
      <c r="C100">
        <v>0.230911695332628</v>
      </c>
      <c r="D100" s="6">
        <v>88137</v>
      </c>
      <c r="E100" s="6">
        <v>7960.5</v>
      </c>
      <c r="F100" s="2">
        <v>0.466814702825286</v>
      </c>
      <c r="G100" s="2">
        <v>1.27092790324105</v>
      </c>
      <c r="H100" s="2">
        <v>0.04760072</v>
      </c>
      <c r="I100" s="6">
        <v>6119.93</v>
      </c>
      <c r="J100" s="6">
        <v>2400</v>
      </c>
      <c r="K100">
        <f t="shared" si="1"/>
        <v>2.54997083333333</v>
      </c>
      <c r="L100" s="2">
        <v>20.2874049</v>
      </c>
      <c r="M100" s="2">
        <v>68.21</v>
      </c>
      <c r="N100" s="6">
        <v>22.1</v>
      </c>
      <c r="O100" s="6">
        <v>143.87</v>
      </c>
      <c r="P100" s="6">
        <v>3926.3</v>
      </c>
    </row>
    <row r="101" spans="1:16">
      <c r="A101" t="s">
        <v>20</v>
      </c>
      <c r="B101">
        <v>2022</v>
      </c>
      <c r="C101">
        <v>0.218833046908508</v>
      </c>
      <c r="D101" s="6">
        <v>97433</v>
      </c>
      <c r="E101" s="6">
        <v>8490</v>
      </c>
      <c r="F101" s="2">
        <v>0.485424484103166</v>
      </c>
      <c r="G101" s="2">
        <v>1.19525592282814</v>
      </c>
      <c r="H101" s="2">
        <v>0.061434812</v>
      </c>
      <c r="I101" s="6">
        <v>6874.94</v>
      </c>
      <c r="J101" s="6">
        <v>2401</v>
      </c>
      <c r="K101">
        <f t="shared" si="1"/>
        <v>2.86336526447314</v>
      </c>
      <c r="L101" s="2">
        <v>20.29729501</v>
      </c>
      <c r="M101" s="2">
        <v>50.796</v>
      </c>
      <c r="N101" s="6">
        <v>22.1</v>
      </c>
      <c r="O101" s="6">
        <v>141.56</v>
      </c>
      <c r="P101" s="6">
        <v>2121.2</v>
      </c>
    </row>
    <row r="102" spans="1:16">
      <c r="A102" t="s">
        <v>21</v>
      </c>
      <c r="B102">
        <v>2003</v>
      </c>
      <c r="C102">
        <v>0.404014365757911</v>
      </c>
      <c r="D102" s="6">
        <v>14041</v>
      </c>
      <c r="E102" s="6">
        <v>2172.1</v>
      </c>
      <c r="F102" s="2">
        <v>0.481011800958299</v>
      </c>
      <c r="G102" s="2">
        <v>1.90531127778812</v>
      </c>
      <c r="H102" s="2">
        <v>0.04807743</v>
      </c>
      <c r="I102" s="6">
        <v>837.11</v>
      </c>
      <c r="J102" s="6">
        <v>4210</v>
      </c>
      <c r="K102">
        <f t="shared" si="1"/>
        <v>0.198838479809976</v>
      </c>
      <c r="L102" s="2">
        <v>283.1203766</v>
      </c>
      <c r="M102" s="2">
        <v>46.65</v>
      </c>
      <c r="N102" s="6">
        <v>35.1</v>
      </c>
      <c r="O102" s="6">
        <v>31.77</v>
      </c>
      <c r="P102" s="6">
        <v>702.6</v>
      </c>
    </row>
    <row r="103" spans="1:16">
      <c r="A103" t="s">
        <v>21</v>
      </c>
      <c r="B103">
        <v>2004</v>
      </c>
      <c r="C103">
        <v>0.390422938571111</v>
      </c>
      <c r="D103" s="6">
        <v>15355</v>
      </c>
      <c r="E103" s="6">
        <v>2316</v>
      </c>
      <c r="F103" s="2">
        <v>0.457170237101611</v>
      </c>
      <c r="G103" s="2">
        <v>2.02079662431605</v>
      </c>
      <c r="H103" s="2">
        <v>0.04688074</v>
      </c>
      <c r="I103" s="6">
        <v>874.85</v>
      </c>
      <c r="J103" s="6">
        <v>4217</v>
      </c>
      <c r="K103">
        <f t="shared" si="1"/>
        <v>0.207457908465734</v>
      </c>
      <c r="L103" s="2">
        <v>283.5911231</v>
      </c>
      <c r="M103" s="2">
        <v>47.33</v>
      </c>
      <c r="N103" s="6">
        <v>35.1</v>
      </c>
      <c r="O103" s="6">
        <v>33.35</v>
      </c>
      <c r="P103" s="6">
        <v>677.4</v>
      </c>
    </row>
    <row r="104" spans="1:16">
      <c r="A104" t="s">
        <v>21</v>
      </c>
      <c r="B104">
        <v>2005</v>
      </c>
      <c r="C104">
        <v>0.406241182812876</v>
      </c>
      <c r="D104" s="6">
        <v>17210</v>
      </c>
      <c r="E104" s="6">
        <v>2719.9</v>
      </c>
      <c r="F104" s="2">
        <v>0.474314125165271</v>
      </c>
      <c r="G104" s="2">
        <v>2.02249063464081</v>
      </c>
      <c r="H104" s="2">
        <v>0.04485752</v>
      </c>
      <c r="I104" s="6">
        <v>904.21</v>
      </c>
      <c r="J104" s="6">
        <v>4221</v>
      </c>
      <c r="K104">
        <f t="shared" si="1"/>
        <v>0.214217010187159</v>
      </c>
      <c r="L104" s="2">
        <v>283.860121</v>
      </c>
      <c r="M104" s="2">
        <v>58.7</v>
      </c>
      <c r="N104" s="6">
        <v>35.1</v>
      </c>
      <c r="O104" s="6">
        <v>31.37</v>
      </c>
      <c r="P104" s="6">
        <v>896.3</v>
      </c>
    </row>
    <row r="105" spans="1:16">
      <c r="A105" t="s">
        <v>21</v>
      </c>
      <c r="B105">
        <v>2006</v>
      </c>
      <c r="C105">
        <v>0.398188090192421</v>
      </c>
      <c r="D105" s="6">
        <v>19760</v>
      </c>
      <c r="E105" s="6">
        <v>2940.8</v>
      </c>
      <c r="F105" s="2">
        <v>0.483975543186775</v>
      </c>
      <c r="G105" s="2">
        <v>1.89303838956891</v>
      </c>
      <c r="H105" s="2">
        <v>0.04331803</v>
      </c>
      <c r="I105" s="6">
        <v>1014.54</v>
      </c>
      <c r="J105" s="6">
        <v>4271</v>
      </c>
      <c r="K105">
        <f t="shared" si="1"/>
        <v>0.237541559353781</v>
      </c>
      <c r="L105" s="2">
        <v>287.2225958</v>
      </c>
      <c r="M105" s="2">
        <v>58.99</v>
      </c>
      <c r="N105" s="6">
        <v>35.1</v>
      </c>
      <c r="O105" s="6">
        <v>33.9</v>
      </c>
      <c r="P105" s="6">
        <v>615.5</v>
      </c>
    </row>
    <row r="106" spans="1:16">
      <c r="A106" t="s">
        <v>21</v>
      </c>
      <c r="B106">
        <v>2007</v>
      </c>
      <c r="C106">
        <v>0.343770551278727</v>
      </c>
      <c r="D106" s="6">
        <v>24022</v>
      </c>
      <c r="E106" s="6">
        <v>3399.1</v>
      </c>
      <c r="F106" s="2">
        <v>0.491653873807349</v>
      </c>
      <c r="G106" s="2">
        <v>1.68860593459124</v>
      </c>
      <c r="H106" s="2">
        <v>0.04176618</v>
      </c>
      <c r="I106" s="6">
        <v>1115.03</v>
      </c>
      <c r="J106" s="6">
        <v>4298</v>
      </c>
      <c r="K106">
        <f t="shared" si="1"/>
        <v>0.25942996742671</v>
      </c>
      <c r="L106" s="2">
        <v>289.0383322</v>
      </c>
      <c r="M106" s="2">
        <v>59.2</v>
      </c>
      <c r="N106" s="6">
        <v>35.1</v>
      </c>
      <c r="O106" s="6">
        <v>30.73</v>
      </c>
      <c r="P106" s="6">
        <v>610.8</v>
      </c>
    </row>
    <row r="107" spans="1:16">
      <c r="A107" t="s">
        <v>21</v>
      </c>
      <c r="B107">
        <v>2008</v>
      </c>
      <c r="C107">
        <v>0.322786259083884</v>
      </c>
      <c r="D107" s="6">
        <v>28185</v>
      </c>
      <c r="E107" s="6">
        <v>4172.8</v>
      </c>
      <c r="F107" s="2">
        <v>0.516827735073366</v>
      </c>
      <c r="G107" s="2">
        <v>1.46658757425212</v>
      </c>
      <c r="H107" s="2">
        <v>0.0411063</v>
      </c>
      <c r="I107" s="6">
        <v>1137.84</v>
      </c>
      <c r="J107" s="6">
        <v>4315</v>
      </c>
      <c r="K107">
        <f t="shared" si="1"/>
        <v>0.263694090382387</v>
      </c>
      <c r="L107" s="2">
        <v>290.1815736</v>
      </c>
      <c r="M107" s="2">
        <v>60.05</v>
      </c>
      <c r="N107" s="6">
        <v>35.1</v>
      </c>
      <c r="O107" s="6">
        <v>48.18</v>
      </c>
      <c r="P107" s="6">
        <v>617.7</v>
      </c>
    </row>
    <row r="108" spans="1:16">
      <c r="A108" t="s">
        <v>21</v>
      </c>
      <c r="B108">
        <v>2009</v>
      </c>
      <c r="C108">
        <v>0.310674310083509</v>
      </c>
      <c r="D108" s="6">
        <v>29611</v>
      </c>
      <c r="E108" s="6">
        <v>4720.3</v>
      </c>
      <c r="F108" s="2">
        <v>0.510256950459202</v>
      </c>
      <c r="G108" s="2">
        <v>1.4912958324555</v>
      </c>
      <c r="H108" s="2">
        <v>0.04066582</v>
      </c>
      <c r="I108" s="6">
        <v>1162.51</v>
      </c>
      <c r="J108" s="6">
        <v>4341</v>
      </c>
      <c r="K108">
        <f t="shared" si="1"/>
        <v>0.267797742455655</v>
      </c>
      <c r="L108" s="2">
        <v>291.9300605</v>
      </c>
      <c r="M108" s="2">
        <v>60.35</v>
      </c>
      <c r="N108" s="6">
        <v>38.2</v>
      </c>
      <c r="O108" s="6">
        <v>55.71</v>
      </c>
      <c r="P108" s="6">
        <v>396</v>
      </c>
    </row>
    <row r="109" spans="1:16">
      <c r="A109" t="s">
        <v>21</v>
      </c>
      <c r="B109">
        <v>2010</v>
      </c>
      <c r="C109">
        <v>0.316804912024523</v>
      </c>
      <c r="D109" s="6">
        <v>31888</v>
      </c>
      <c r="E109" s="6">
        <v>5672.3</v>
      </c>
      <c r="F109" s="2">
        <v>0.516813828141304</v>
      </c>
      <c r="G109" s="2">
        <v>1.50734512064362</v>
      </c>
      <c r="H109" s="2">
        <v>0.04084069</v>
      </c>
      <c r="I109" s="6">
        <v>1295.11</v>
      </c>
      <c r="J109" s="6">
        <v>4375</v>
      </c>
      <c r="K109">
        <f t="shared" si="1"/>
        <v>0.296025142857143</v>
      </c>
      <c r="L109" s="2">
        <v>294.4182919</v>
      </c>
      <c r="M109" s="2">
        <v>62.1</v>
      </c>
      <c r="N109" s="6">
        <v>38.2</v>
      </c>
      <c r="O109" s="6">
        <v>77.44</v>
      </c>
      <c r="P109" s="6">
        <v>1392.1</v>
      </c>
    </row>
    <row r="110" spans="1:16">
      <c r="A110" t="s">
        <v>21</v>
      </c>
      <c r="B110">
        <v>2011</v>
      </c>
      <c r="C110">
        <v>0.27717801830025</v>
      </c>
      <c r="D110" s="6">
        <v>37353</v>
      </c>
      <c r="E110" s="6">
        <v>6846.4</v>
      </c>
      <c r="F110" s="2">
        <v>0.518419556218626</v>
      </c>
      <c r="G110" s="2">
        <v>1.38869696543544</v>
      </c>
      <c r="H110" s="2">
        <v>0.03958528</v>
      </c>
      <c r="I110" s="6">
        <v>1369.93</v>
      </c>
      <c r="J110" s="6">
        <v>4379</v>
      </c>
      <c r="K110">
        <f t="shared" si="1"/>
        <v>0.312840831240009</v>
      </c>
      <c r="L110" s="2">
        <v>294.4855414</v>
      </c>
      <c r="M110" s="2">
        <v>64.05</v>
      </c>
      <c r="N110" s="6">
        <v>38.2</v>
      </c>
      <c r="O110" s="6">
        <v>74.2</v>
      </c>
      <c r="P110" s="6">
        <v>673.2</v>
      </c>
    </row>
    <row r="111" spans="1:16">
      <c r="A111" t="s">
        <v>21</v>
      </c>
      <c r="B111">
        <v>2012</v>
      </c>
      <c r="C111">
        <v>0.268776235074912</v>
      </c>
      <c r="D111" s="6">
        <v>40778</v>
      </c>
      <c r="E111" s="6">
        <v>7894.4</v>
      </c>
      <c r="F111" s="2">
        <v>0.497904597559472</v>
      </c>
      <c r="G111" s="2">
        <v>1.31810898333763</v>
      </c>
      <c r="H111" s="2">
        <v>0.03831066</v>
      </c>
      <c r="I111" s="6">
        <v>1414.7</v>
      </c>
      <c r="J111" s="6">
        <v>4375</v>
      </c>
      <c r="K111">
        <f t="shared" si="1"/>
        <v>0.32336</v>
      </c>
      <c r="L111" s="2">
        <v>294.2165434</v>
      </c>
      <c r="M111" s="2">
        <v>65.65</v>
      </c>
      <c r="N111" s="6">
        <v>38.2</v>
      </c>
      <c r="O111" s="6">
        <v>93.27</v>
      </c>
      <c r="P111" s="6">
        <v>1247.8</v>
      </c>
    </row>
    <row r="112" spans="1:16">
      <c r="A112" t="s">
        <v>21</v>
      </c>
      <c r="B112">
        <v>2013</v>
      </c>
      <c r="C112">
        <v>0.266684010112219</v>
      </c>
      <c r="D112" s="6">
        <v>43956</v>
      </c>
      <c r="E112" s="6">
        <v>8847.4</v>
      </c>
      <c r="F112" s="2">
        <v>0.479165799008788</v>
      </c>
      <c r="G112" s="2">
        <v>1.1307838074216</v>
      </c>
      <c r="H112" s="2">
        <v>0.03759514</v>
      </c>
      <c r="I112" s="6">
        <v>1553.86</v>
      </c>
      <c r="J112" s="6">
        <v>4365</v>
      </c>
      <c r="K112">
        <f t="shared" si="1"/>
        <v>0.355981672394043</v>
      </c>
      <c r="L112" s="2">
        <v>293.5440484</v>
      </c>
      <c r="M112" s="2">
        <v>66.45</v>
      </c>
      <c r="N112" s="6">
        <v>38.2</v>
      </c>
      <c r="O112" s="6">
        <v>108.59</v>
      </c>
      <c r="P112" s="6">
        <v>1055.2</v>
      </c>
    </row>
    <row r="113" spans="1:16">
      <c r="A113" t="s">
        <v>21</v>
      </c>
      <c r="B113">
        <v>2014</v>
      </c>
      <c r="C113">
        <v>0.259270141551641</v>
      </c>
      <c r="D113" s="6">
        <v>45915</v>
      </c>
      <c r="E113" s="6">
        <v>9773.6</v>
      </c>
      <c r="F113" s="2">
        <v>0.45136000239692</v>
      </c>
      <c r="G113" s="2">
        <v>1.08876993063913</v>
      </c>
      <c r="H113" s="2">
        <v>0.03664362</v>
      </c>
      <c r="I113" s="6">
        <v>1647.82</v>
      </c>
      <c r="J113" s="6">
        <v>4358</v>
      </c>
      <c r="K113">
        <f t="shared" si="1"/>
        <v>0.378113813675998</v>
      </c>
      <c r="L113" s="2">
        <v>293.073302</v>
      </c>
      <c r="M113" s="2">
        <v>67.05</v>
      </c>
      <c r="N113" s="6">
        <v>39.2</v>
      </c>
      <c r="O113" s="6">
        <v>106.1</v>
      </c>
      <c r="P113" s="6">
        <v>332.4</v>
      </c>
    </row>
    <row r="114" spans="1:16">
      <c r="A114" t="s">
        <v>21</v>
      </c>
      <c r="B114">
        <v>2015</v>
      </c>
      <c r="C114">
        <v>0.283661711806112</v>
      </c>
      <c r="D114" s="6">
        <v>46482</v>
      </c>
      <c r="E114" s="6">
        <v>10393.9</v>
      </c>
      <c r="F114" s="2">
        <v>0.412888477657432</v>
      </c>
      <c r="G114" s="2">
        <v>1.05698579437218</v>
      </c>
      <c r="H114" s="2">
        <v>0.0348637</v>
      </c>
      <c r="I114" s="6">
        <v>1665</v>
      </c>
      <c r="J114" s="6">
        <v>4338</v>
      </c>
      <c r="K114">
        <f t="shared" si="1"/>
        <v>0.383817427385892</v>
      </c>
      <c r="L114" s="2">
        <v>291.728312</v>
      </c>
      <c r="M114" s="2">
        <v>68.05</v>
      </c>
      <c r="N114" s="6">
        <v>39.2</v>
      </c>
      <c r="O114" s="6">
        <v>116.79</v>
      </c>
      <c r="P114" s="6">
        <v>408.1</v>
      </c>
    </row>
    <row r="115" spans="1:16">
      <c r="A115" t="s">
        <v>21</v>
      </c>
      <c r="B115">
        <v>2016</v>
      </c>
      <c r="C115">
        <v>0.238784881635253</v>
      </c>
      <c r="D115" s="6">
        <v>47069</v>
      </c>
      <c r="E115" s="6">
        <v>10367.6</v>
      </c>
      <c r="F115" s="2">
        <v>0.38571533652078</v>
      </c>
      <c r="G115" s="2">
        <v>1.0222876057374</v>
      </c>
      <c r="H115" s="2">
        <v>0.03410048</v>
      </c>
      <c r="I115" s="6">
        <v>1778.76</v>
      </c>
      <c r="J115" s="6">
        <v>4327</v>
      </c>
      <c r="K115">
        <f t="shared" si="1"/>
        <v>0.411083891841923</v>
      </c>
      <c r="L115" s="2">
        <v>290.9885676</v>
      </c>
      <c r="M115" s="2">
        <v>68.87</v>
      </c>
      <c r="N115" s="6">
        <v>39.2</v>
      </c>
      <c r="O115" s="6">
        <v>87.24</v>
      </c>
      <c r="P115" s="6">
        <v>757.1</v>
      </c>
    </row>
    <row r="116" spans="1:16">
      <c r="A116" t="s">
        <v>21</v>
      </c>
      <c r="B116">
        <v>2017</v>
      </c>
      <c r="C116">
        <v>0.226724973353966</v>
      </c>
      <c r="D116" s="6">
        <v>50221</v>
      </c>
      <c r="E116" s="6">
        <v>10874.8</v>
      </c>
      <c r="F116" s="2">
        <v>0.383944129442677</v>
      </c>
      <c r="G116" s="2">
        <v>0.984879915180012</v>
      </c>
      <c r="H116" s="2">
        <v>0.03385561</v>
      </c>
      <c r="I116" s="6">
        <v>1829.27</v>
      </c>
      <c r="J116" s="6">
        <v>4312</v>
      </c>
      <c r="K116">
        <f t="shared" si="1"/>
        <v>0.424227736549165</v>
      </c>
      <c r="L116" s="2">
        <v>289.9798252</v>
      </c>
      <c r="M116" s="2">
        <v>69.49</v>
      </c>
      <c r="N116" s="6">
        <v>39.2</v>
      </c>
      <c r="O116" s="6">
        <v>106.53</v>
      </c>
      <c r="P116" s="6">
        <v>426</v>
      </c>
    </row>
    <row r="117" spans="1:16">
      <c r="A117" t="s">
        <v>21</v>
      </c>
      <c r="B117">
        <v>2018</v>
      </c>
      <c r="C117">
        <v>0.217082108949063</v>
      </c>
      <c r="D117" s="6">
        <v>54657</v>
      </c>
      <c r="E117" s="6">
        <v>11302.9</v>
      </c>
      <c r="F117" s="2">
        <v>0.384891856829927</v>
      </c>
      <c r="G117" s="2">
        <v>0.949405584738734</v>
      </c>
      <c r="H117" s="2">
        <v>0.03336685</v>
      </c>
      <c r="I117" s="6">
        <v>1982.69</v>
      </c>
      <c r="J117" s="6">
        <v>4291</v>
      </c>
      <c r="K117">
        <f t="shared" si="1"/>
        <v>0.462057795385691</v>
      </c>
      <c r="L117" s="2">
        <v>288.5675857</v>
      </c>
      <c r="M117" s="2">
        <v>70.26</v>
      </c>
      <c r="N117" s="6">
        <v>39.2</v>
      </c>
      <c r="O117" s="6">
        <v>94.21</v>
      </c>
      <c r="P117" s="6">
        <v>539.4</v>
      </c>
    </row>
    <row r="118" spans="1:16">
      <c r="A118" t="s">
        <v>21</v>
      </c>
      <c r="B118">
        <v>2019</v>
      </c>
      <c r="C118">
        <v>0.209198344264345</v>
      </c>
      <c r="D118" s="6">
        <v>58019</v>
      </c>
      <c r="E118" s="6">
        <v>11730.9</v>
      </c>
      <c r="F118" s="2">
        <v>0.381242632356077</v>
      </c>
      <c r="G118" s="2">
        <v>0.955490378309656</v>
      </c>
      <c r="H118" s="2">
        <v>0.03313122</v>
      </c>
      <c r="I118" s="6">
        <v>2072.94</v>
      </c>
      <c r="J118" s="6">
        <v>4277</v>
      </c>
      <c r="K118">
        <f t="shared" si="1"/>
        <v>0.484671498714052</v>
      </c>
      <c r="L118" s="2">
        <v>287.6260928</v>
      </c>
      <c r="M118" s="2">
        <v>71.21</v>
      </c>
      <c r="N118" s="6">
        <v>39.2</v>
      </c>
      <c r="O118" s="6">
        <v>129.73</v>
      </c>
      <c r="P118" s="6">
        <v>587.8</v>
      </c>
    </row>
    <row r="119" spans="1:16">
      <c r="A119" t="s">
        <v>21</v>
      </c>
      <c r="B119">
        <v>2020</v>
      </c>
      <c r="C119">
        <v>0.219729022320912</v>
      </c>
      <c r="D119" s="6">
        <v>58629</v>
      </c>
      <c r="E119" s="6">
        <v>12157.9</v>
      </c>
      <c r="F119" s="2">
        <v>0.37412939699497</v>
      </c>
      <c r="G119" s="2">
        <v>0.99352695171002</v>
      </c>
      <c r="H119" s="2">
        <v>0.03225935</v>
      </c>
      <c r="I119" s="6">
        <v>2135.26</v>
      </c>
      <c r="J119" s="6">
        <v>4255</v>
      </c>
      <c r="K119">
        <f t="shared" si="1"/>
        <v>0.501823736780259</v>
      </c>
      <c r="L119" s="2">
        <v>286.1795562</v>
      </c>
      <c r="M119" s="2">
        <v>72.14</v>
      </c>
      <c r="N119" s="6">
        <v>39.2</v>
      </c>
      <c r="O119" s="6">
        <v>97.94</v>
      </c>
      <c r="P119" s="6">
        <v>930.8</v>
      </c>
    </row>
    <row r="120" spans="1:16">
      <c r="A120" t="s">
        <v>21</v>
      </c>
      <c r="B120">
        <v>2021</v>
      </c>
      <c r="C120">
        <v>0.215680676443523</v>
      </c>
      <c r="D120" s="6">
        <v>64992</v>
      </c>
      <c r="E120" s="6">
        <v>12583.6</v>
      </c>
      <c r="F120" s="2">
        <v>0.394758700738135</v>
      </c>
      <c r="G120" s="2">
        <v>0.904289160122599</v>
      </c>
      <c r="H120" s="2">
        <v>0.03098798</v>
      </c>
      <c r="I120" s="6">
        <v>2257.58</v>
      </c>
      <c r="J120" s="6">
        <v>4229</v>
      </c>
      <c r="K120">
        <f t="shared" si="1"/>
        <v>0.533833057460393</v>
      </c>
      <c r="L120" s="2">
        <v>284.4250168</v>
      </c>
      <c r="M120" s="2">
        <v>72.81</v>
      </c>
      <c r="N120" s="6">
        <v>39.2</v>
      </c>
      <c r="O120" s="6">
        <v>80.39</v>
      </c>
      <c r="P120" s="6">
        <v>1206.3</v>
      </c>
    </row>
    <row r="121" spans="1:16">
      <c r="A121" t="s">
        <v>21</v>
      </c>
      <c r="B121">
        <v>2022</v>
      </c>
      <c r="C121">
        <v>0.211786934510314</v>
      </c>
      <c r="D121" s="6">
        <v>68422</v>
      </c>
      <c r="E121" s="6">
        <v>13007.3</v>
      </c>
      <c r="F121" s="2">
        <v>0.40572077404392</v>
      </c>
      <c r="G121" s="2">
        <v>0.894271933259989</v>
      </c>
      <c r="H121" s="2">
        <v>0.054017998</v>
      </c>
      <c r="I121" s="6">
        <v>2310.24</v>
      </c>
      <c r="J121" s="6">
        <v>4197</v>
      </c>
      <c r="K121">
        <f t="shared" si="1"/>
        <v>0.550450321658327</v>
      </c>
      <c r="L121" s="2">
        <v>282.2461332</v>
      </c>
      <c r="M121" s="2">
        <v>49.85</v>
      </c>
      <c r="N121" s="6">
        <v>39.2</v>
      </c>
      <c r="O121" s="6">
        <v>75.21</v>
      </c>
      <c r="P121" s="6">
        <v>1333.3</v>
      </c>
    </row>
    <row r="122" spans="1:16">
      <c r="A122" t="s">
        <v>22</v>
      </c>
      <c r="B122">
        <v>2003</v>
      </c>
      <c r="C122">
        <v>0.470150145818343</v>
      </c>
      <c r="D122" s="6">
        <v>7925</v>
      </c>
      <c r="E122" s="6">
        <v>1231.2</v>
      </c>
      <c r="F122" s="2">
        <v>0.376319476879963</v>
      </c>
      <c r="G122" s="2">
        <v>2.41639420831387</v>
      </c>
      <c r="H122" s="2">
        <v>0.01793551</v>
      </c>
      <c r="I122" s="6">
        <v>338.83</v>
      </c>
      <c r="J122" s="6">
        <v>2704</v>
      </c>
      <c r="K122">
        <f t="shared" si="1"/>
        <v>0.125306952662722</v>
      </c>
      <c r="L122" s="2">
        <v>144.2742796</v>
      </c>
      <c r="M122" s="2">
        <v>51.76</v>
      </c>
      <c r="N122" s="6">
        <v>38.9</v>
      </c>
      <c r="O122" s="6">
        <v>15.89</v>
      </c>
      <c r="P122" s="6">
        <v>1540.5</v>
      </c>
    </row>
    <row r="123" spans="1:16">
      <c r="A123" t="s">
        <v>22</v>
      </c>
      <c r="B123">
        <v>2004</v>
      </c>
      <c r="C123">
        <v>0.444100701952072</v>
      </c>
      <c r="D123" s="6">
        <v>9073</v>
      </c>
      <c r="E123" s="6">
        <v>1244.8</v>
      </c>
      <c r="F123" s="2">
        <v>0.367953730856957</v>
      </c>
      <c r="G123" s="2">
        <v>2.28189556858912</v>
      </c>
      <c r="H123" s="2">
        <v>0.01709173</v>
      </c>
      <c r="I123" s="6">
        <v>386.19</v>
      </c>
      <c r="J123" s="6">
        <v>2709</v>
      </c>
      <c r="K123">
        <f t="shared" si="1"/>
        <v>0.142558139534884</v>
      </c>
      <c r="L123" s="2">
        <v>144.5304162</v>
      </c>
      <c r="M123" s="2">
        <v>48.6</v>
      </c>
      <c r="N123" s="6">
        <v>38.9</v>
      </c>
      <c r="O123" s="6">
        <v>18.1</v>
      </c>
      <c r="P123" s="6">
        <v>1194.9</v>
      </c>
    </row>
    <row r="124" spans="1:16">
      <c r="A124" t="s">
        <v>22</v>
      </c>
      <c r="B124">
        <v>2005</v>
      </c>
      <c r="C124">
        <v>0.42148692039439</v>
      </c>
      <c r="D124" s="6">
        <v>10237</v>
      </c>
      <c r="E124" s="6">
        <v>1407.9</v>
      </c>
      <c r="F124" s="2">
        <v>0.361030073833964</v>
      </c>
      <c r="G124" s="2">
        <v>2.14572303259499</v>
      </c>
      <c r="H124" s="2">
        <v>0.01527732</v>
      </c>
      <c r="I124" s="6">
        <v>433.43</v>
      </c>
      <c r="J124" s="6">
        <v>2716</v>
      </c>
      <c r="K124">
        <f t="shared" si="1"/>
        <v>0.159583946980854</v>
      </c>
      <c r="L124" s="2">
        <v>144.9306297</v>
      </c>
      <c r="M124" s="2">
        <v>52.52</v>
      </c>
      <c r="N124" s="6">
        <v>38.9</v>
      </c>
      <c r="O124" s="6">
        <v>21.02</v>
      </c>
      <c r="P124" s="6">
        <v>2066.8</v>
      </c>
    </row>
    <row r="125" spans="1:16">
      <c r="A125" t="s">
        <v>22</v>
      </c>
      <c r="B125">
        <v>2006</v>
      </c>
      <c r="C125">
        <v>0.428256897718197</v>
      </c>
      <c r="D125" s="6">
        <v>11864</v>
      </c>
      <c r="E125" s="6">
        <v>1552.9</v>
      </c>
      <c r="F125" s="2">
        <v>0.340058887339222</v>
      </c>
      <c r="G125" s="2">
        <v>2.05250581125058</v>
      </c>
      <c r="H125" s="2">
        <v>0.01454631</v>
      </c>
      <c r="I125" s="6">
        <v>443.2</v>
      </c>
      <c r="J125" s="6">
        <v>2723</v>
      </c>
      <c r="K125">
        <f t="shared" si="1"/>
        <v>0.162761659933896</v>
      </c>
      <c r="L125" s="2">
        <v>145.3041622</v>
      </c>
      <c r="M125" s="2">
        <v>52.97</v>
      </c>
      <c r="N125" s="6">
        <v>38.9</v>
      </c>
      <c r="O125" s="6">
        <v>24.97</v>
      </c>
      <c r="P125" s="6">
        <v>1300.3</v>
      </c>
    </row>
    <row r="126" spans="1:16">
      <c r="A126" t="s">
        <v>22</v>
      </c>
      <c r="B126">
        <v>2007</v>
      </c>
      <c r="C126">
        <v>0.373701339849715</v>
      </c>
      <c r="D126" s="6">
        <v>14966</v>
      </c>
      <c r="E126" s="6">
        <v>1819.8</v>
      </c>
      <c r="F126" s="2">
        <v>0.36215474352376</v>
      </c>
      <c r="G126" s="2">
        <v>1.80038477562924</v>
      </c>
      <c r="H126" s="2">
        <v>0.0142129</v>
      </c>
      <c r="I126" s="6">
        <v>494.76</v>
      </c>
      <c r="J126" s="6">
        <v>2730</v>
      </c>
      <c r="K126">
        <f t="shared" si="1"/>
        <v>0.181230769230769</v>
      </c>
      <c r="L126" s="2">
        <v>145.6680896</v>
      </c>
      <c r="M126" s="2">
        <v>53.16</v>
      </c>
      <c r="N126" s="6">
        <v>38.9</v>
      </c>
      <c r="O126" s="6">
        <v>30.45</v>
      </c>
      <c r="P126" s="6">
        <v>1269.2</v>
      </c>
    </row>
    <row r="127" spans="1:16">
      <c r="A127" t="s">
        <v>22</v>
      </c>
      <c r="B127">
        <v>2008</v>
      </c>
      <c r="C127">
        <v>0.367774222870227</v>
      </c>
      <c r="D127" s="6">
        <v>17696</v>
      </c>
      <c r="E127" s="6">
        <v>2084.2</v>
      </c>
      <c r="F127" s="2">
        <v>0.369826462862225</v>
      </c>
      <c r="G127" s="2">
        <v>1.49357767803587</v>
      </c>
      <c r="H127" s="2">
        <v>0.01445384</v>
      </c>
      <c r="I127" s="6">
        <v>577.67</v>
      </c>
      <c r="J127" s="6">
        <v>2734</v>
      </c>
      <c r="K127">
        <f t="shared" si="1"/>
        <v>0.211291148500366</v>
      </c>
      <c r="L127" s="2">
        <v>145.9023479</v>
      </c>
      <c r="M127" s="2">
        <v>53.21</v>
      </c>
      <c r="N127" s="6">
        <v>38.9</v>
      </c>
      <c r="O127" s="6">
        <v>45.61</v>
      </c>
      <c r="P127" s="6">
        <v>1215.2</v>
      </c>
    </row>
    <row r="128" spans="1:16">
      <c r="A128" t="s">
        <v>22</v>
      </c>
      <c r="B128">
        <v>2009</v>
      </c>
      <c r="C128">
        <v>0.35919577640388</v>
      </c>
      <c r="D128" s="6">
        <v>19858</v>
      </c>
      <c r="E128" s="6">
        <v>2336.7</v>
      </c>
      <c r="F128" s="2">
        <v>0.378137189960992</v>
      </c>
      <c r="G128" s="2">
        <v>1.4164274674321</v>
      </c>
      <c r="H128" s="2">
        <v>0.01407986</v>
      </c>
      <c r="I128" s="6">
        <v>541.83</v>
      </c>
      <c r="J128" s="6">
        <v>2740</v>
      </c>
      <c r="K128">
        <f t="shared" si="1"/>
        <v>0.197748175182482</v>
      </c>
      <c r="L128" s="2">
        <v>146.1872999</v>
      </c>
      <c r="M128" s="2">
        <v>53.32</v>
      </c>
      <c r="N128" s="6">
        <v>40.4</v>
      </c>
      <c r="O128" s="6">
        <v>49.48</v>
      </c>
      <c r="P128" s="6">
        <v>1088.9</v>
      </c>
    </row>
    <row r="129" spans="1:16">
      <c r="A129" t="s">
        <v>22</v>
      </c>
      <c r="B129">
        <v>2010</v>
      </c>
      <c r="C129">
        <v>0.346136351161817</v>
      </c>
      <c r="D129" s="6">
        <v>23370</v>
      </c>
      <c r="E129" s="6">
        <v>2535</v>
      </c>
      <c r="F129" s="2">
        <v>0.38777006473754</v>
      </c>
      <c r="G129" s="2">
        <v>1.29433117541533</v>
      </c>
      <c r="H129" s="2">
        <v>0.01373801</v>
      </c>
      <c r="I129" s="6">
        <v>604.56</v>
      </c>
      <c r="J129" s="6">
        <v>2747</v>
      </c>
      <c r="K129">
        <f t="shared" si="1"/>
        <v>0.220080087368038</v>
      </c>
      <c r="L129" s="2">
        <v>146.5635005</v>
      </c>
      <c r="M129" s="2">
        <v>53.35</v>
      </c>
      <c r="N129" s="6">
        <v>40.4</v>
      </c>
      <c r="O129" s="6">
        <v>71.55</v>
      </c>
      <c r="P129" s="6">
        <v>2503.3</v>
      </c>
    </row>
    <row r="130" spans="1:16">
      <c r="A130" t="s">
        <v>22</v>
      </c>
      <c r="B130">
        <v>2011</v>
      </c>
      <c r="C130">
        <v>0.327452743527396</v>
      </c>
      <c r="D130" s="6">
        <v>28270</v>
      </c>
      <c r="E130" s="6">
        <v>2970.8</v>
      </c>
      <c r="F130" s="2">
        <v>0.378998267525147</v>
      </c>
      <c r="G130" s="2">
        <v>1.17691929770124</v>
      </c>
      <c r="H130" s="2">
        <v>0.01340012</v>
      </c>
      <c r="I130" s="6">
        <v>709.87</v>
      </c>
      <c r="J130" s="6">
        <v>2725</v>
      </c>
      <c r="K130">
        <f t="shared" si="1"/>
        <v>0.260502752293578</v>
      </c>
      <c r="L130" s="2">
        <v>145.4108858</v>
      </c>
      <c r="M130" s="2">
        <v>53.4</v>
      </c>
      <c r="N130" s="6">
        <v>40.4</v>
      </c>
      <c r="O130" s="6">
        <v>102.42</v>
      </c>
      <c r="P130" s="6">
        <v>1149.5</v>
      </c>
    </row>
    <row r="131" spans="1:16">
      <c r="A131" t="s">
        <v>22</v>
      </c>
      <c r="B131">
        <v>2012</v>
      </c>
      <c r="C131">
        <v>0.316732306135599</v>
      </c>
      <c r="D131" s="6">
        <v>32005</v>
      </c>
      <c r="E131" s="6">
        <v>3375.9</v>
      </c>
      <c r="F131" s="2">
        <v>0.382023507720673</v>
      </c>
      <c r="G131" s="2">
        <v>1.08815856188062</v>
      </c>
      <c r="H131" s="2">
        <v>0.01284491</v>
      </c>
      <c r="I131" s="6">
        <v>684.4</v>
      </c>
      <c r="J131" s="6">
        <v>2698</v>
      </c>
      <c r="K131">
        <f t="shared" ref="K131:K194" si="2">I131/J131</f>
        <v>0.253669384729429</v>
      </c>
      <c r="L131" s="2">
        <v>143.9701174</v>
      </c>
      <c r="M131" s="2">
        <v>54.54</v>
      </c>
      <c r="N131" s="6">
        <v>40.4</v>
      </c>
      <c r="O131" s="6">
        <v>113.85</v>
      </c>
      <c r="P131" s="6">
        <v>1674.5</v>
      </c>
    </row>
    <row r="132" spans="1:16">
      <c r="A132" t="s">
        <v>22</v>
      </c>
      <c r="B132">
        <v>2013</v>
      </c>
      <c r="C132">
        <v>0.30312227054785</v>
      </c>
      <c r="D132" s="6">
        <v>35139</v>
      </c>
      <c r="E132" s="6">
        <v>3762</v>
      </c>
      <c r="F132" s="2">
        <v>0.378886072189989</v>
      </c>
      <c r="G132" s="2">
        <v>0.916959238006343</v>
      </c>
      <c r="H132" s="2">
        <v>0.01223902</v>
      </c>
      <c r="I132" s="6">
        <v>778.68</v>
      </c>
      <c r="J132" s="6">
        <v>2668</v>
      </c>
      <c r="K132">
        <f t="shared" si="2"/>
        <v>0.291859070464768</v>
      </c>
      <c r="L132" s="2">
        <v>142.3692636</v>
      </c>
      <c r="M132" s="2">
        <v>55.74</v>
      </c>
      <c r="N132" s="6">
        <v>40.4</v>
      </c>
      <c r="O132" s="6">
        <v>126.83</v>
      </c>
      <c r="P132" s="6">
        <v>2208.2</v>
      </c>
    </row>
    <row r="133" spans="1:16">
      <c r="A133" t="s">
        <v>22</v>
      </c>
      <c r="B133">
        <v>2014</v>
      </c>
      <c r="C133">
        <v>0.304714284638983</v>
      </c>
      <c r="D133" s="6">
        <v>37539</v>
      </c>
      <c r="E133" s="6">
        <v>3759.9</v>
      </c>
      <c r="F133" s="2">
        <v>0.381768925901771</v>
      </c>
      <c r="G133" s="2">
        <v>0.858856168163347</v>
      </c>
      <c r="H133" s="2">
        <v>0.01200305</v>
      </c>
      <c r="I133" s="6">
        <v>771.73</v>
      </c>
      <c r="J133" s="6">
        <v>2642</v>
      </c>
      <c r="K133">
        <f t="shared" si="2"/>
        <v>0.292100681302044</v>
      </c>
      <c r="L133" s="2">
        <v>140.981857</v>
      </c>
      <c r="M133" s="2">
        <v>56.81</v>
      </c>
      <c r="N133" s="6">
        <v>41.5</v>
      </c>
      <c r="O133" s="6">
        <v>140.3</v>
      </c>
      <c r="P133" s="6">
        <v>1112.2</v>
      </c>
    </row>
    <row r="134" spans="1:16">
      <c r="A134" t="s">
        <v>22</v>
      </c>
      <c r="B134">
        <v>2015</v>
      </c>
      <c r="C134">
        <v>0.310223130169959</v>
      </c>
      <c r="D134" s="6">
        <v>38128</v>
      </c>
      <c r="E134" s="6">
        <v>4027.4</v>
      </c>
      <c r="F134" s="2">
        <v>0.383090437213017</v>
      </c>
      <c r="G134" s="2">
        <v>0.700738670393292</v>
      </c>
      <c r="H134" s="2">
        <v>0.01145132</v>
      </c>
      <c r="I134" s="6">
        <v>731</v>
      </c>
      <c r="J134" s="6">
        <v>2613</v>
      </c>
      <c r="K134">
        <f t="shared" si="2"/>
        <v>0.279755070799847</v>
      </c>
      <c r="L134" s="2">
        <v>139.434365</v>
      </c>
      <c r="M134" s="2">
        <v>57.64</v>
      </c>
      <c r="N134" s="6">
        <v>41.5</v>
      </c>
      <c r="O134" s="6">
        <v>117.7</v>
      </c>
      <c r="P134" s="6">
        <v>1203.5</v>
      </c>
    </row>
    <row r="135" spans="1:16">
      <c r="A135" t="s">
        <v>22</v>
      </c>
      <c r="B135">
        <v>2016</v>
      </c>
      <c r="C135">
        <v>0.278966818743277</v>
      </c>
      <c r="D135" s="6">
        <v>40259</v>
      </c>
      <c r="E135" s="6">
        <v>3802.5</v>
      </c>
      <c r="F135" s="2">
        <v>0.374163230075765</v>
      </c>
      <c r="G135" s="2">
        <v>0.660400882324734</v>
      </c>
      <c r="H135" s="2">
        <v>0.01117422</v>
      </c>
      <c r="I135" s="6">
        <v>760.26</v>
      </c>
      <c r="J135" s="6">
        <v>2567</v>
      </c>
      <c r="K135">
        <f t="shared" si="2"/>
        <v>0.2961667315933</v>
      </c>
      <c r="L135" s="2">
        <v>136.9797225</v>
      </c>
      <c r="M135" s="2">
        <v>58.75</v>
      </c>
      <c r="N135" s="6">
        <v>41.5</v>
      </c>
      <c r="O135" s="6">
        <v>122.14</v>
      </c>
      <c r="P135" s="6">
        <v>1782</v>
      </c>
    </row>
    <row r="136" spans="1:16">
      <c r="A136" t="s">
        <v>22</v>
      </c>
      <c r="B136">
        <v>2017</v>
      </c>
      <c r="C136">
        <v>0.271164464530942</v>
      </c>
      <c r="D136" s="6">
        <v>42890</v>
      </c>
      <c r="E136" s="6">
        <v>4098.8</v>
      </c>
      <c r="F136" s="2">
        <v>0.365821278154184</v>
      </c>
      <c r="G136" s="2">
        <v>0.630012818165171</v>
      </c>
      <c r="H136" s="2">
        <v>0.01114487</v>
      </c>
      <c r="I136" s="6">
        <v>800.33</v>
      </c>
      <c r="J136" s="6">
        <v>2526</v>
      </c>
      <c r="K136">
        <f t="shared" si="2"/>
        <v>0.316836896278702</v>
      </c>
      <c r="L136" s="2">
        <v>134.791889</v>
      </c>
      <c r="M136" s="2">
        <v>59.71</v>
      </c>
      <c r="N136" s="6">
        <v>41.5</v>
      </c>
      <c r="O136" s="6">
        <v>115.12</v>
      </c>
      <c r="P136" s="6">
        <v>1447.3</v>
      </c>
    </row>
    <row r="137" spans="1:16">
      <c r="A137" t="s">
        <v>22</v>
      </c>
      <c r="B137">
        <v>2018</v>
      </c>
      <c r="C137">
        <v>0.255979549513535</v>
      </c>
      <c r="D137" s="6">
        <v>44925</v>
      </c>
      <c r="E137" s="6">
        <v>4251.5</v>
      </c>
      <c r="F137" s="2">
        <v>0.360011729371412</v>
      </c>
      <c r="G137" s="2">
        <v>0.622012120350459</v>
      </c>
      <c r="H137" s="2">
        <v>0.01087749</v>
      </c>
      <c r="I137" s="6">
        <v>838.24</v>
      </c>
      <c r="J137" s="6">
        <v>2484</v>
      </c>
      <c r="K137">
        <f t="shared" si="2"/>
        <v>0.337455716586151</v>
      </c>
      <c r="L137" s="2">
        <v>132.5506937</v>
      </c>
      <c r="M137" s="2">
        <v>60.85</v>
      </c>
      <c r="N137" s="6">
        <v>41.5</v>
      </c>
      <c r="O137" s="6">
        <v>120.79</v>
      </c>
      <c r="P137" s="6">
        <v>1775.3</v>
      </c>
    </row>
    <row r="138" spans="1:16">
      <c r="A138" t="s">
        <v>22</v>
      </c>
      <c r="B138">
        <v>2019</v>
      </c>
      <c r="C138">
        <v>0.259031554956313</v>
      </c>
      <c r="D138" s="6">
        <v>47554</v>
      </c>
      <c r="E138" s="6">
        <v>4404.2</v>
      </c>
      <c r="F138" s="2">
        <v>0.352594058055053</v>
      </c>
      <c r="G138" s="2">
        <v>0.608179554524679</v>
      </c>
      <c r="H138" s="2">
        <v>0.01076608</v>
      </c>
      <c r="I138" s="6">
        <v>946.38</v>
      </c>
      <c r="J138" s="6">
        <v>2448</v>
      </c>
      <c r="K138">
        <f t="shared" si="2"/>
        <v>0.386593137254902</v>
      </c>
      <c r="L138" s="2">
        <v>130.6296692</v>
      </c>
      <c r="M138" s="2">
        <v>61.63</v>
      </c>
      <c r="N138" s="6">
        <v>41.5</v>
      </c>
      <c r="O138" s="6">
        <v>147.97</v>
      </c>
      <c r="P138" s="6">
        <v>1876.2</v>
      </c>
    </row>
    <row r="139" spans="1:16">
      <c r="A139" t="s">
        <v>22</v>
      </c>
      <c r="B139">
        <v>2020</v>
      </c>
      <c r="C139">
        <v>0.254835414829857</v>
      </c>
      <c r="D139" s="6">
        <v>50561</v>
      </c>
      <c r="E139" s="6">
        <v>4556.6</v>
      </c>
      <c r="F139" s="2">
        <v>0.35247225848564</v>
      </c>
      <c r="G139" s="2">
        <v>0.586300587467363</v>
      </c>
      <c r="H139" s="2">
        <v>0.01071761</v>
      </c>
      <c r="I139" s="6">
        <v>1018.83</v>
      </c>
      <c r="J139" s="6">
        <v>2399</v>
      </c>
      <c r="K139">
        <f t="shared" si="2"/>
        <v>0.424689453939141</v>
      </c>
      <c r="L139" s="2">
        <v>128.0272145</v>
      </c>
      <c r="M139" s="2">
        <v>62.64</v>
      </c>
      <c r="N139" s="6">
        <v>41.5</v>
      </c>
      <c r="O139" s="6">
        <v>131.53</v>
      </c>
      <c r="P139" s="6">
        <v>2418.8</v>
      </c>
    </row>
    <row r="140" spans="1:16">
      <c r="A140" t="s">
        <v>22</v>
      </c>
      <c r="B140">
        <v>2021</v>
      </c>
      <c r="C140">
        <v>0.24699878270347</v>
      </c>
      <c r="D140" s="6">
        <v>55148</v>
      </c>
      <c r="E140" s="6">
        <v>4708.6</v>
      </c>
      <c r="F140" s="2">
        <v>0.362228231969492</v>
      </c>
      <c r="G140" s="2">
        <v>0.55360914021787</v>
      </c>
      <c r="H140" s="2">
        <v>0.01014087</v>
      </c>
      <c r="I140" s="6">
        <v>1025.75</v>
      </c>
      <c r="J140" s="6">
        <v>2375</v>
      </c>
      <c r="K140">
        <f t="shared" si="2"/>
        <v>0.431894736842105</v>
      </c>
      <c r="L140" s="2">
        <v>126.7540021</v>
      </c>
      <c r="M140" s="2">
        <v>63.36</v>
      </c>
      <c r="N140" s="6">
        <v>41.5</v>
      </c>
      <c r="O140" s="6">
        <v>112.27</v>
      </c>
      <c r="P140" s="6">
        <v>1923.8</v>
      </c>
    </row>
    <row r="141" spans="1:16">
      <c r="A141" t="s">
        <v>22</v>
      </c>
      <c r="B141">
        <v>2022</v>
      </c>
      <c r="C141">
        <v>0.237933046950678</v>
      </c>
      <c r="D141" s="6">
        <v>54279</v>
      </c>
      <c r="E141" s="6">
        <v>4860</v>
      </c>
      <c r="F141" s="2">
        <v>0.3541108781809</v>
      </c>
      <c r="G141" s="2">
        <v>0.565634038404347</v>
      </c>
      <c r="H141" s="2">
        <v>0.01613704</v>
      </c>
      <c r="I141" s="6">
        <v>1092.24</v>
      </c>
      <c r="J141" s="6">
        <v>2348</v>
      </c>
      <c r="K141">
        <f t="shared" si="2"/>
        <v>0.465178875638842</v>
      </c>
      <c r="L141" s="2">
        <v>125.2769477</v>
      </c>
      <c r="M141" s="2">
        <v>54.716</v>
      </c>
      <c r="N141" s="6">
        <v>41.5</v>
      </c>
      <c r="O141" s="6">
        <v>106.07</v>
      </c>
      <c r="P141" s="6">
        <v>2985.8</v>
      </c>
    </row>
    <row r="142" spans="1:16">
      <c r="A142" t="s">
        <v>23</v>
      </c>
      <c r="B142">
        <v>2003</v>
      </c>
      <c r="C142">
        <v>0.474729614293614</v>
      </c>
      <c r="D142" s="6">
        <v>9464</v>
      </c>
      <c r="E142" s="6">
        <v>1494.9</v>
      </c>
      <c r="F142" s="2">
        <v>0.541984098401529</v>
      </c>
      <c r="G142" s="2">
        <v>1.85985538964457</v>
      </c>
      <c r="H142" s="2">
        <v>0.02612589</v>
      </c>
      <c r="I142" s="6">
        <v>493.78</v>
      </c>
      <c r="J142" s="6">
        <v>3815</v>
      </c>
      <c r="K142">
        <f t="shared" si="2"/>
        <v>0.12943119266055</v>
      </c>
      <c r="L142" s="2">
        <v>81.04950074</v>
      </c>
      <c r="M142" s="2">
        <v>52.59</v>
      </c>
      <c r="N142" s="6">
        <v>42.4</v>
      </c>
      <c r="O142" s="6">
        <v>44.9</v>
      </c>
      <c r="P142" s="6">
        <v>1625.2</v>
      </c>
    </row>
    <row r="143" spans="1:16">
      <c r="A143" t="s">
        <v>23</v>
      </c>
      <c r="B143">
        <v>2004</v>
      </c>
      <c r="C143">
        <v>0.461810721969453</v>
      </c>
      <c r="D143" s="6">
        <v>10836</v>
      </c>
      <c r="E143" s="6">
        <v>1604.1</v>
      </c>
      <c r="F143" s="2">
        <v>0.549084576873776</v>
      </c>
      <c r="G143" s="2">
        <v>1.8056134665151</v>
      </c>
      <c r="H143" s="2">
        <v>0.02415666</v>
      </c>
      <c r="I143" s="6">
        <v>501.83</v>
      </c>
      <c r="J143" s="6">
        <v>3817</v>
      </c>
      <c r="K143">
        <f t="shared" si="2"/>
        <v>0.131472360492533</v>
      </c>
      <c r="L143" s="2">
        <v>81.08774166</v>
      </c>
      <c r="M143" s="2">
        <v>52.78</v>
      </c>
      <c r="N143" s="6">
        <v>42.4</v>
      </c>
      <c r="O143" s="6">
        <v>45.09</v>
      </c>
      <c r="P143" s="6">
        <v>1708.5</v>
      </c>
    </row>
    <row r="144" spans="1:16">
      <c r="A144" t="s">
        <v>23</v>
      </c>
      <c r="B144">
        <v>2005</v>
      </c>
      <c r="C144">
        <v>0.449228864399451</v>
      </c>
      <c r="D144" s="6">
        <v>12456</v>
      </c>
      <c r="E144" s="6">
        <v>1841.3</v>
      </c>
      <c r="F144" s="2">
        <v>0.558489613993777</v>
      </c>
      <c r="G144" s="2">
        <v>1.68745269531579</v>
      </c>
      <c r="H144" s="2">
        <v>0.02245192</v>
      </c>
      <c r="I144" s="6">
        <v>596.02</v>
      </c>
      <c r="J144" s="6">
        <v>3820</v>
      </c>
      <c r="K144">
        <f t="shared" si="2"/>
        <v>0.156026178010471</v>
      </c>
      <c r="L144" s="2">
        <v>81.15466327</v>
      </c>
      <c r="M144" s="2">
        <v>53.1</v>
      </c>
      <c r="N144" s="6">
        <v>42.4</v>
      </c>
      <c r="O144" s="6">
        <v>44.76</v>
      </c>
      <c r="P144" s="6">
        <v>1954.2</v>
      </c>
    </row>
    <row r="145" spans="1:16">
      <c r="A145" t="s">
        <v>23</v>
      </c>
      <c r="B145">
        <v>2006</v>
      </c>
      <c r="C145">
        <v>0.449360633192165</v>
      </c>
      <c r="D145" s="6">
        <v>13947</v>
      </c>
      <c r="E145" s="6">
        <v>1964.8</v>
      </c>
      <c r="F145" s="2">
        <v>0.562497654696236</v>
      </c>
      <c r="G145" s="2">
        <v>1.6374910878457</v>
      </c>
      <c r="H145" s="2">
        <v>0.02105628</v>
      </c>
      <c r="I145" s="6">
        <v>646.59</v>
      </c>
      <c r="J145" s="6">
        <v>3823</v>
      </c>
      <c r="K145">
        <f t="shared" si="2"/>
        <v>0.169131572063824</v>
      </c>
      <c r="L145" s="2">
        <v>81.21967283</v>
      </c>
      <c r="M145" s="2">
        <v>53.5</v>
      </c>
      <c r="N145" s="6">
        <v>42.4</v>
      </c>
      <c r="O145" s="6">
        <v>45.34</v>
      </c>
      <c r="P145" s="6">
        <v>1904.8</v>
      </c>
    </row>
    <row r="146" spans="1:16">
      <c r="A146" t="s">
        <v>23</v>
      </c>
      <c r="B146">
        <v>2007</v>
      </c>
      <c r="C146">
        <v>0.417604460904211</v>
      </c>
      <c r="D146" s="6">
        <v>16023</v>
      </c>
      <c r="E146" s="6">
        <v>2308.3</v>
      </c>
      <c r="F146" s="2">
        <v>0.552209326999984</v>
      </c>
      <c r="G146" s="2">
        <v>1.53020420155722</v>
      </c>
      <c r="H146" s="2">
        <v>0.0193218</v>
      </c>
      <c r="I146" s="6">
        <v>685.21</v>
      </c>
      <c r="J146" s="6">
        <v>3824</v>
      </c>
      <c r="K146">
        <f t="shared" si="2"/>
        <v>0.179186715481172</v>
      </c>
      <c r="L146" s="2">
        <v>81.24134268</v>
      </c>
      <c r="M146" s="2">
        <v>53.9</v>
      </c>
      <c r="N146" s="6">
        <v>42.4</v>
      </c>
      <c r="O146" s="6">
        <v>44.34</v>
      </c>
      <c r="P146" s="6">
        <v>1286.4</v>
      </c>
    </row>
    <row r="147" spans="1:16">
      <c r="A147" t="s">
        <v>23</v>
      </c>
      <c r="B147">
        <v>2008</v>
      </c>
      <c r="C147">
        <v>0.392413140875496</v>
      </c>
      <c r="D147" s="6">
        <v>18654</v>
      </c>
      <c r="E147" s="6">
        <v>2728.9</v>
      </c>
      <c r="F147" s="2">
        <v>0.55156850102324</v>
      </c>
      <c r="G147" s="2">
        <v>1.39875529141319</v>
      </c>
      <c r="H147" s="2">
        <v>0.0195023</v>
      </c>
      <c r="I147" s="6">
        <v>732.96</v>
      </c>
      <c r="J147" s="6">
        <v>3825</v>
      </c>
      <c r="K147">
        <f t="shared" si="2"/>
        <v>0.191623529411765</v>
      </c>
      <c r="L147" s="2">
        <v>81.26280008</v>
      </c>
      <c r="M147" s="2">
        <v>55.4</v>
      </c>
      <c r="N147" s="6">
        <v>42.4</v>
      </c>
      <c r="O147" s="6">
        <v>48.51</v>
      </c>
      <c r="P147" s="6">
        <v>1208</v>
      </c>
    </row>
    <row r="148" spans="1:16">
      <c r="A148" t="s">
        <v>23</v>
      </c>
      <c r="B148">
        <v>2009</v>
      </c>
      <c r="C148">
        <v>0.368444464240837</v>
      </c>
      <c r="D148" s="6">
        <v>18871</v>
      </c>
      <c r="E148" s="6">
        <v>3030.4</v>
      </c>
      <c r="F148" s="2">
        <v>0.508124506503761</v>
      </c>
      <c r="G148" s="2">
        <v>1.44994389726967</v>
      </c>
      <c r="H148" s="2">
        <v>0.01881856</v>
      </c>
      <c r="I148" s="6">
        <v>722.95</v>
      </c>
      <c r="J148" s="6">
        <v>3826</v>
      </c>
      <c r="K148">
        <f t="shared" si="2"/>
        <v>0.188957135389441</v>
      </c>
      <c r="L148" s="2">
        <v>81.28340769</v>
      </c>
      <c r="M148" s="2">
        <v>55.5</v>
      </c>
      <c r="N148" s="6">
        <v>43.2</v>
      </c>
      <c r="O148" s="6">
        <v>59.07</v>
      </c>
      <c r="P148" s="6">
        <v>2586.9</v>
      </c>
    </row>
    <row r="149" spans="1:16">
      <c r="A149" t="s">
        <v>23</v>
      </c>
      <c r="B149">
        <v>2010</v>
      </c>
      <c r="C149">
        <v>0.359756292556215</v>
      </c>
      <c r="D149" s="6">
        <v>21694</v>
      </c>
      <c r="E149" s="6">
        <v>3492.9</v>
      </c>
      <c r="F149" s="2">
        <v>0.499031089392535</v>
      </c>
      <c r="G149" s="2">
        <v>1.35208285690213</v>
      </c>
      <c r="H149" s="2">
        <v>0.01780622</v>
      </c>
      <c r="I149" s="6">
        <v>777.43</v>
      </c>
      <c r="J149" s="6">
        <v>3833</v>
      </c>
      <c r="K149">
        <f t="shared" si="2"/>
        <v>0.202825463083746</v>
      </c>
      <c r="L149" s="2">
        <v>81.43934566</v>
      </c>
      <c r="M149" s="2">
        <v>55.66</v>
      </c>
      <c r="N149" s="6">
        <v>43.2</v>
      </c>
      <c r="O149" s="6">
        <v>89</v>
      </c>
      <c r="P149" s="6">
        <v>2228.6</v>
      </c>
    </row>
    <row r="150" spans="1:16">
      <c r="A150" t="s">
        <v>23</v>
      </c>
      <c r="B150">
        <v>2011</v>
      </c>
      <c r="C150">
        <v>0.390977996454213</v>
      </c>
      <c r="D150" s="6">
        <v>26093</v>
      </c>
      <c r="E150" s="6">
        <v>4075.4</v>
      </c>
      <c r="F150" s="2">
        <v>0.494846502264721</v>
      </c>
      <c r="G150" s="2">
        <v>1.21982888777051</v>
      </c>
      <c r="H150" s="2">
        <v>0.01705177</v>
      </c>
      <c r="I150" s="6">
        <v>834.55</v>
      </c>
      <c r="J150" s="6">
        <v>3782</v>
      </c>
      <c r="K150">
        <f t="shared" si="2"/>
        <v>0.220663670015865</v>
      </c>
      <c r="L150" s="2">
        <v>80.34841725</v>
      </c>
      <c r="M150" s="2">
        <v>56.49</v>
      </c>
      <c r="N150" s="6">
        <v>43.2</v>
      </c>
      <c r="O150" s="6">
        <v>92.27</v>
      </c>
      <c r="P150" s="6">
        <v>1642</v>
      </c>
    </row>
    <row r="151" spans="1:16">
      <c r="A151" t="s">
        <v>23</v>
      </c>
      <c r="B151">
        <v>2012</v>
      </c>
      <c r="C151">
        <v>0.382454314877005</v>
      </c>
      <c r="D151" s="6">
        <v>29352</v>
      </c>
      <c r="E151" s="6">
        <v>4447.7</v>
      </c>
      <c r="F151" s="2">
        <v>0.462953212658182</v>
      </c>
      <c r="G151" s="2">
        <v>1.15813649485285</v>
      </c>
      <c r="H151" s="2">
        <v>0.0166946</v>
      </c>
      <c r="I151" s="6">
        <v>843.1</v>
      </c>
      <c r="J151" s="6">
        <v>3724</v>
      </c>
      <c r="K151">
        <f t="shared" si="2"/>
        <v>0.226396348012889</v>
      </c>
      <c r="L151" s="2">
        <v>79.1162099</v>
      </c>
      <c r="M151" s="2">
        <v>56.88</v>
      </c>
      <c r="N151" s="6">
        <v>43.2</v>
      </c>
      <c r="O151" s="6">
        <v>104.86</v>
      </c>
      <c r="P151" s="6">
        <v>2194.6</v>
      </c>
    </row>
    <row r="152" spans="1:16">
      <c r="A152" t="s">
        <v>23</v>
      </c>
      <c r="B152">
        <v>2013</v>
      </c>
      <c r="C152">
        <v>0.379196173447182</v>
      </c>
      <c r="D152" s="6">
        <v>32068</v>
      </c>
      <c r="E152" s="6">
        <v>4976.5</v>
      </c>
      <c r="F152" s="2">
        <v>0.439079761332084</v>
      </c>
      <c r="G152" s="2">
        <v>1.00032913892194</v>
      </c>
      <c r="H152" s="2">
        <v>0.01582079</v>
      </c>
      <c r="I152" s="6">
        <v>839.3</v>
      </c>
      <c r="J152" s="6">
        <v>3666</v>
      </c>
      <c r="K152">
        <f t="shared" si="2"/>
        <v>0.228941625750136</v>
      </c>
      <c r="L152" s="2">
        <v>77.88400255</v>
      </c>
      <c r="M152" s="2">
        <v>58.04</v>
      </c>
      <c r="N152" s="6">
        <v>43.2</v>
      </c>
      <c r="O152" s="6">
        <v>115.75</v>
      </c>
      <c r="P152" s="6">
        <v>3702.1</v>
      </c>
    </row>
    <row r="153" spans="1:16">
      <c r="A153" t="s">
        <v>23</v>
      </c>
      <c r="B153">
        <v>2014</v>
      </c>
      <c r="C153">
        <v>0.384174497777841</v>
      </c>
      <c r="D153" s="6">
        <v>33464</v>
      </c>
      <c r="E153" s="6">
        <v>5833.4</v>
      </c>
      <c r="F153" s="2">
        <v>0.40033522857988</v>
      </c>
      <c r="G153" s="2">
        <v>0.982260820981365</v>
      </c>
      <c r="H153" s="2">
        <v>0.015447</v>
      </c>
      <c r="I153" s="6">
        <v>881.3</v>
      </c>
      <c r="J153" s="6">
        <v>3608</v>
      </c>
      <c r="K153">
        <f t="shared" si="2"/>
        <v>0.244262749445676</v>
      </c>
      <c r="L153" s="2">
        <v>76.6517952</v>
      </c>
      <c r="M153" s="2">
        <v>59.22</v>
      </c>
      <c r="N153" s="6">
        <v>43.8</v>
      </c>
      <c r="O153" s="6">
        <v>111.57</v>
      </c>
      <c r="P153" s="6">
        <v>2463.1</v>
      </c>
    </row>
    <row r="154" spans="1:16">
      <c r="A154" t="s">
        <v>23</v>
      </c>
      <c r="B154">
        <v>2015</v>
      </c>
      <c r="C154">
        <v>0.39382097071954</v>
      </c>
      <c r="D154" s="6">
        <v>32759</v>
      </c>
      <c r="E154" s="6">
        <v>6304.4</v>
      </c>
      <c r="F154" s="2">
        <v>0.335919589392643</v>
      </c>
      <c r="G154" s="2">
        <v>0.949871685201026</v>
      </c>
      <c r="H154" s="2">
        <v>0.01526307</v>
      </c>
      <c r="I154" s="6">
        <v>874</v>
      </c>
      <c r="J154" s="6">
        <v>3529</v>
      </c>
      <c r="K154">
        <f t="shared" si="2"/>
        <v>0.247662227259847</v>
      </c>
      <c r="L154" s="2">
        <v>74.97344381</v>
      </c>
      <c r="M154" s="2">
        <v>60.47</v>
      </c>
      <c r="N154" s="6">
        <v>43.8</v>
      </c>
      <c r="O154" s="6">
        <v>155.52</v>
      </c>
      <c r="P154" s="6">
        <v>2129.8</v>
      </c>
    </row>
    <row r="155" spans="1:16">
      <c r="A155" t="s">
        <v>23</v>
      </c>
      <c r="B155">
        <v>2016</v>
      </c>
      <c r="C155">
        <v>0.328240419473716</v>
      </c>
      <c r="D155" s="6">
        <v>34025</v>
      </c>
      <c r="E155" s="6">
        <v>6619.1</v>
      </c>
      <c r="F155" s="2">
        <v>0.310189155107188</v>
      </c>
      <c r="G155" s="2">
        <v>0.930643127364439</v>
      </c>
      <c r="H155" s="2">
        <v>0.01500689</v>
      </c>
      <c r="I155" s="6">
        <v>900.41</v>
      </c>
      <c r="J155" s="6">
        <v>3463</v>
      </c>
      <c r="K155">
        <f t="shared" si="2"/>
        <v>0.260008663008952</v>
      </c>
      <c r="L155" s="2">
        <v>73.57127682</v>
      </c>
      <c r="M155" s="2">
        <v>61.09</v>
      </c>
      <c r="N155" s="6">
        <v>43.8</v>
      </c>
      <c r="O155" s="6">
        <v>113.44</v>
      </c>
      <c r="P155" s="6">
        <v>2217.1</v>
      </c>
    </row>
    <row r="156" spans="1:16">
      <c r="A156" t="s">
        <v>23</v>
      </c>
      <c r="B156">
        <v>2017</v>
      </c>
      <c r="C156">
        <v>0.315352596906838</v>
      </c>
      <c r="D156" s="6">
        <v>35887</v>
      </c>
      <c r="E156" s="6">
        <v>7155.1</v>
      </c>
      <c r="F156" s="2">
        <v>0.285836108178348</v>
      </c>
      <c r="G156" s="2">
        <v>0.914318200276131</v>
      </c>
      <c r="H156" s="2">
        <v>0.01472131</v>
      </c>
      <c r="I156" s="6">
        <v>917.28</v>
      </c>
      <c r="J156" s="6">
        <v>3399</v>
      </c>
      <c r="K156">
        <f t="shared" si="2"/>
        <v>0.269867608120035</v>
      </c>
      <c r="L156" s="2">
        <v>72.21159975</v>
      </c>
      <c r="M156" s="2">
        <v>61.9</v>
      </c>
      <c r="N156" s="6">
        <v>43.8</v>
      </c>
      <c r="O156" s="6">
        <v>193.2</v>
      </c>
      <c r="P156" s="6">
        <v>1957.1</v>
      </c>
    </row>
    <row r="157" spans="1:16">
      <c r="A157" t="s">
        <v>23</v>
      </c>
      <c r="B157">
        <v>2018</v>
      </c>
      <c r="C157">
        <v>0.297044388186016</v>
      </c>
      <c r="D157" s="6">
        <v>38199</v>
      </c>
      <c r="E157" s="6">
        <v>7669.3</v>
      </c>
      <c r="F157" s="2">
        <v>0.275250068111937</v>
      </c>
      <c r="G157" s="2">
        <v>0.890203557389172</v>
      </c>
      <c r="H157" s="2">
        <v>0.01411384</v>
      </c>
      <c r="I157" s="6">
        <v>1029.21</v>
      </c>
      <c r="J157" s="6">
        <v>3327</v>
      </c>
      <c r="K157">
        <f t="shared" si="2"/>
        <v>0.309350766456267</v>
      </c>
      <c r="L157" s="2">
        <v>70.68196303</v>
      </c>
      <c r="M157" s="2">
        <v>63.46</v>
      </c>
      <c r="N157" s="6">
        <v>43.8</v>
      </c>
      <c r="O157" s="6">
        <v>154.09</v>
      </c>
      <c r="P157" s="6">
        <v>2675.1</v>
      </c>
    </row>
    <row r="158" spans="1:16">
      <c r="A158" t="s">
        <v>23</v>
      </c>
      <c r="B158">
        <v>2019</v>
      </c>
      <c r="C158">
        <v>0.285191086492266</v>
      </c>
      <c r="D158" s="6">
        <v>41156</v>
      </c>
      <c r="E158" s="6">
        <v>8195.8</v>
      </c>
      <c r="F158" s="2">
        <v>0.26875313782818</v>
      </c>
      <c r="G158" s="2">
        <v>0.857476152505833</v>
      </c>
      <c r="H158" s="2">
        <v>0.01373589</v>
      </c>
      <c r="I158" s="6">
        <v>1111.91</v>
      </c>
      <c r="J158" s="6">
        <v>3255</v>
      </c>
      <c r="K158">
        <f t="shared" si="2"/>
        <v>0.341600614439324</v>
      </c>
      <c r="L158" s="2">
        <v>69.15232632</v>
      </c>
      <c r="M158" s="2">
        <v>64.62</v>
      </c>
      <c r="N158" s="6">
        <v>43.8</v>
      </c>
      <c r="O158" s="6">
        <v>211.06</v>
      </c>
      <c r="P158" s="6">
        <v>4017.5</v>
      </c>
    </row>
    <row r="159" spans="1:16">
      <c r="A159" t="s">
        <v>23</v>
      </c>
      <c r="B159">
        <v>2020</v>
      </c>
      <c r="C159">
        <v>0.29153500098936</v>
      </c>
      <c r="D159" s="6">
        <v>42432</v>
      </c>
      <c r="E159" s="6">
        <v>8733.3</v>
      </c>
      <c r="F159" s="2">
        <v>0.253047662358619</v>
      </c>
      <c r="G159" s="2">
        <v>0.845357724412106</v>
      </c>
      <c r="H159" s="2">
        <v>0.0135002</v>
      </c>
      <c r="I159" s="6">
        <v>1137.84</v>
      </c>
      <c r="J159" s="6">
        <v>3171</v>
      </c>
      <c r="K159">
        <f t="shared" si="2"/>
        <v>0.358826868495743</v>
      </c>
      <c r="L159" s="2">
        <v>67.36583811</v>
      </c>
      <c r="M159" s="2">
        <v>65.61</v>
      </c>
      <c r="N159" s="6">
        <v>43.8</v>
      </c>
      <c r="O159" s="6">
        <v>220.27</v>
      </c>
      <c r="P159" s="6">
        <v>4419.2</v>
      </c>
    </row>
    <row r="160" spans="1:16">
      <c r="A160" t="s">
        <v>23</v>
      </c>
      <c r="B160">
        <v>2021</v>
      </c>
      <c r="C160">
        <v>0.281841806961617</v>
      </c>
      <c r="D160" s="6">
        <v>47199</v>
      </c>
      <c r="E160" s="6">
        <v>9280.6</v>
      </c>
      <c r="F160" s="2">
        <v>0.275033314937206</v>
      </c>
      <c r="G160" s="2">
        <v>0.820530077667551</v>
      </c>
      <c r="H160" s="2">
        <v>0.01310012</v>
      </c>
      <c r="I160" s="6">
        <v>1200.53</v>
      </c>
      <c r="J160" s="6">
        <v>3125</v>
      </c>
      <c r="K160">
        <f t="shared" si="2"/>
        <v>0.3841696</v>
      </c>
      <c r="L160" s="2">
        <v>66.39048226</v>
      </c>
      <c r="M160" s="2">
        <v>65.69</v>
      </c>
      <c r="N160" s="6">
        <v>43.8</v>
      </c>
      <c r="O160" s="6">
        <v>140.54</v>
      </c>
      <c r="P160" s="6">
        <v>3800.2</v>
      </c>
    </row>
    <row r="161" spans="1:16">
      <c r="A161" t="s">
        <v>23</v>
      </c>
      <c r="B161">
        <v>2022</v>
      </c>
      <c r="C161">
        <v>0.269254630431752</v>
      </c>
      <c r="D161" s="6">
        <v>50873</v>
      </c>
      <c r="E161" s="6">
        <v>9836.2</v>
      </c>
      <c r="F161" s="2">
        <v>0.292365260046538</v>
      </c>
      <c r="G161" s="2">
        <v>0.756870637066851</v>
      </c>
      <c r="H161" s="2">
        <v>0.020382148</v>
      </c>
      <c r="I161" s="6">
        <v>1263.97</v>
      </c>
      <c r="J161" s="6">
        <v>3099</v>
      </c>
      <c r="K161">
        <f t="shared" si="2"/>
        <v>0.407863827040981</v>
      </c>
      <c r="L161" s="2">
        <v>65.83811345</v>
      </c>
      <c r="M161" s="2">
        <v>61.506</v>
      </c>
      <c r="N161" s="6">
        <v>43.8</v>
      </c>
      <c r="O161" s="6">
        <v>159.15</v>
      </c>
      <c r="P161" s="6">
        <v>2951.5</v>
      </c>
    </row>
    <row r="162" spans="1:16">
      <c r="A162" t="s">
        <v>24</v>
      </c>
      <c r="B162">
        <v>2003</v>
      </c>
      <c r="C162">
        <v>0.319372884097925</v>
      </c>
      <c r="D162" s="6">
        <v>39117</v>
      </c>
      <c r="E162" s="6">
        <v>2437.4</v>
      </c>
      <c r="F162" s="2">
        <v>0.476131687242798</v>
      </c>
      <c r="G162" s="2">
        <v>0.998874191651969</v>
      </c>
      <c r="H162" s="2">
        <v>0.03950206</v>
      </c>
      <c r="I162" s="6">
        <v>687.63</v>
      </c>
      <c r="J162" s="6">
        <v>1766</v>
      </c>
      <c r="K162">
        <f t="shared" si="2"/>
        <v>0.389371460928652</v>
      </c>
      <c r="L162" s="2">
        <v>2802.920635</v>
      </c>
      <c r="M162" s="2">
        <v>17.01</v>
      </c>
      <c r="N162" s="6">
        <v>9.4</v>
      </c>
      <c r="O162" s="6">
        <v>15.08</v>
      </c>
      <c r="P162" s="6">
        <v>158.4</v>
      </c>
    </row>
    <row r="163" spans="1:16">
      <c r="A163" t="s">
        <v>24</v>
      </c>
      <c r="B163">
        <v>2004</v>
      </c>
      <c r="C163">
        <v>0.287281978463853</v>
      </c>
      <c r="D163" s="6">
        <v>44998</v>
      </c>
      <c r="E163" s="6">
        <v>2869.3</v>
      </c>
      <c r="F163" s="2">
        <v>0.477954971857411</v>
      </c>
      <c r="G163" s="2">
        <v>0.914095981040782</v>
      </c>
      <c r="H163" s="2">
        <v>0.03776295</v>
      </c>
      <c r="I163" s="6">
        <v>705.02</v>
      </c>
      <c r="J163" s="6">
        <v>1835</v>
      </c>
      <c r="K163">
        <f t="shared" si="2"/>
        <v>0.384207084468665</v>
      </c>
      <c r="L163" s="2">
        <v>2912.666667</v>
      </c>
      <c r="M163" s="2">
        <v>13.89</v>
      </c>
      <c r="N163" s="6">
        <v>9.4</v>
      </c>
      <c r="O163" s="6">
        <v>15.5</v>
      </c>
      <c r="P163" s="6">
        <v>143.4</v>
      </c>
    </row>
    <row r="164" spans="1:16">
      <c r="A164" t="s">
        <v>24</v>
      </c>
      <c r="B164">
        <v>2005</v>
      </c>
      <c r="C164">
        <v>0.292913613710815</v>
      </c>
      <c r="D164" s="6">
        <v>49377</v>
      </c>
      <c r="E164" s="6">
        <v>3333</v>
      </c>
      <c r="F164" s="2">
        <v>0.469158756564569</v>
      </c>
      <c r="G164" s="2">
        <v>0.90377292842309</v>
      </c>
      <c r="H164" s="2">
        <v>0.03724003</v>
      </c>
      <c r="I164" s="6">
        <v>733.97</v>
      </c>
      <c r="J164" s="6">
        <v>1890</v>
      </c>
      <c r="K164">
        <f t="shared" si="2"/>
        <v>0.388343915343915</v>
      </c>
      <c r="L164" s="2">
        <v>3000.412698</v>
      </c>
      <c r="M164" s="2">
        <v>89.09</v>
      </c>
      <c r="N164" s="6">
        <v>9.4</v>
      </c>
      <c r="O164" s="6">
        <v>16.23</v>
      </c>
      <c r="P164" s="6">
        <v>138</v>
      </c>
    </row>
    <row r="165" spans="1:16">
      <c r="A165" t="s">
        <v>24</v>
      </c>
      <c r="B165">
        <v>2006</v>
      </c>
      <c r="C165">
        <v>0.279827695515297</v>
      </c>
      <c r="D165" s="6">
        <v>54996</v>
      </c>
      <c r="E165" s="6">
        <v>3858.5</v>
      </c>
      <c r="F165" s="2">
        <v>0.46506712960779</v>
      </c>
      <c r="G165" s="2">
        <v>0.8460613837285</v>
      </c>
      <c r="H165" s="2">
        <v>0.03491984</v>
      </c>
      <c r="I165" s="6">
        <v>720.74</v>
      </c>
      <c r="J165" s="6">
        <v>1964</v>
      </c>
      <c r="K165">
        <f t="shared" si="2"/>
        <v>0.366975560081466</v>
      </c>
      <c r="L165" s="2">
        <v>3117.634921</v>
      </c>
      <c r="M165" s="2">
        <v>88.7</v>
      </c>
      <c r="N165" s="6">
        <v>9.4</v>
      </c>
      <c r="O165" s="6">
        <v>17.55</v>
      </c>
      <c r="P165" s="6">
        <v>153.9</v>
      </c>
    </row>
    <row r="166" spans="1:16">
      <c r="A166" t="s">
        <v>24</v>
      </c>
      <c r="B166">
        <v>2007</v>
      </c>
      <c r="C166">
        <v>0.267779754174976</v>
      </c>
      <c r="D166" s="6">
        <v>63951</v>
      </c>
      <c r="E166" s="6">
        <v>4609.6</v>
      </c>
      <c r="F166" s="2">
        <v>0.440844184583848</v>
      </c>
      <c r="G166" s="2">
        <v>0.758442234076421</v>
      </c>
      <c r="H166" s="2">
        <v>0.03294498</v>
      </c>
      <c r="I166" s="6">
        <v>739.14</v>
      </c>
      <c r="J166" s="6">
        <v>2064</v>
      </c>
      <c r="K166">
        <f t="shared" si="2"/>
        <v>0.358110465116279</v>
      </c>
      <c r="L166" s="2">
        <v>3275.539683</v>
      </c>
      <c r="M166" s="2">
        <v>88.7</v>
      </c>
      <c r="N166" s="6">
        <v>9.4</v>
      </c>
      <c r="O166" s="6">
        <v>20.04</v>
      </c>
      <c r="P166" s="6">
        <v>187.9</v>
      </c>
    </row>
    <row r="167" spans="1:16">
      <c r="A167" t="s">
        <v>24</v>
      </c>
      <c r="B167">
        <v>2008</v>
      </c>
      <c r="C167">
        <v>0.276023079767254</v>
      </c>
      <c r="D167" s="6">
        <v>69154</v>
      </c>
      <c r="E167" s="6">
        <v>5290.4</v>
      </c>
      <c r="F167" s="2">
        <v>0.427567087893567</v>
      </c>
      <c r="G167" s="2">
        <v>0.702144198556776</v>
      </c>
      <c r="H167" s="2">
        <v>0.03313589</v>
      </c>
      <c r="I167" s="6">
        <v>773.62</v>
      </c>
      <c r="J167" s="6">
        <v>2141</v>
      </c>
      <c r="K167">
        <f t="shared" si="2"/>
        <v>0.36133582438113</v>
      </c>
      <c r="L167" s="2">
        <v>3397.84127</v>
      </c>
      <c r="M167" s="2">
        <v>88.6</v>
      </c>
      <c r="N167" s="6">
        <v>9.4</v>
      </c>
      <c r="O167" s="6">
        <v>25.08</v>
      </c>
      <c r="P167" s="6">
        <v>197.5</v>
      </c>
    </row>
    <row r="168" spans="1:16">
      <c r="A168" t="s">
        <v>24</v>
      </c>
      <c r="B168">
        <v>2009</v>
      </c>
      <c r="C168">
        <v>0.261761083828565</v>
      </c>
      <c r="D168" s="6">
        <v>72363</v>
      </c>
      <c r="E168" s="6">
        <v>5782.9</v>
      </c>
      <c r="F168" s="2">
        <v>0.392875292204492</v>
      </c>
      <c r="G168" s="2">
        <v>0.658539993901819</v>
      </c>
      <c r="H168" s="2">
        <v>0.03151727</v>
      </c>
      <c r="I168" s="6">
        <v>778.2</v>
      </c>
      <c r="J168" s="6">
        <v>2210</v>
      </c>
      <c r="K168">
        <f t="shared" si="2"/>
        <v>0.352126696832579</v>
      </c>
      <c r="L168" s="2">
        <v>3508.380952</v>
      </c>
      <c r="M168" s="2">
        <v>88.6</v>
      </c>
      <c r="N168" s="6">
        <v>10.7</v>
      </c>
      <c r="O168" s="6">
        <v>33.96</v>
      </c>
      <c r="P168" s="6">
        <v>218.3</v>
      </c>
    </row>
    <row r="169" spans="1:16">
      <c r="A169" t="s">
        <v>24</v>
      </c>
      <c r="B169">
        <v>2010</v>
      </c>
      <c r="C169">
        <v>0.252597247951391</v>
      </c>
      <c r="D169" s="6">
        <v>79396</v>
      </c>
      <c r="E169" s="6">
        <v>7281.9</v>
      </c>
      <c r="F169" s="2">
        <v>0.415000502361097</v>
      </c>
      <c r="G169" s="2">
        <v>0.625223550688235</v>
      </c>
      <c r="H169" s="2">
        <v>0.03085493</v>
      </c>
      <c r="I169" s="6">
        <v>876.19</v>
      </c>
      <c r="J169" s="6">
        <v>2303</v>
      </c>
      <c r="K169">
        <f t="shared" si="2"/>
        <v>0.380455927051672</v>
      </c>
      <c r="L169" s="2">
        <v>3655.015873</v>
      </c>
      <c r="M169" s="2">
        <v>89.3</v>
      </c>
      <c r="N169" s="6">
        <v>10.7</v>
      </c>
      <c r="O169" s="6">
        <v>47.31</v>
      </c>
      <c r="P169" s="6">
        <v>163.1</v>
      </c>
    </row>
    <row r="170" spans="1:16">
      <c r="A170" t="s">
        <v>24</v>
      </c>
      <c r="B170">
        <v>2011</v>
      </c>
      <c r="C170">
        <v>0.160081603345472</v>
      </c>
      <c r="D170" s="6">
        <v>85897</v>
      </c>
      <c r="E170" s="6">
        <v>8239.8</v>
      </c>
      <c r="F170" s="2">
        <v>0.408266990509603</v>
      </c>
      <c r="G170" s="2">
        <v>0.563226834985032</v>
      </c>
      <c r="H170" s="2">
        <v>0.02848697</v>
      </c>
      <c r="I170" s="6">
        <v>949.24</v>
      </c>
      <c r="J170" s="6">
        <v>2356</v>
      </c>
      <c r="K170">
        <f t="shared" si="2"/>
        <v>0.402903225806452</v>
      </c>
      <c r="L170" s="2">
        <v>3739.68254</v>
      </c>
      <c r="M170" s="2">
        <v>89.3</v>
      </c>
      <c r="N170" s="6">
        <v>10.7</v>
      </c>
      <c r="O170" s="6">
        <v>51.62</v>
      </c>
      <c r="P170" s="6">
        <v>89.1</v>
      </c>
    </row>
    <row r="171" spans="1:16">
      <c r="A171" t="s">
        <v>24</v>
      </c>
      <c r="B171">
        <v>2012</v>
      </c>
      <c r="C171">
        <v>0.15898314057796</v>
      </c>
      <c r="D171" s="6">
        <v>89613</v>
      </c>
      <c r="E171" s="6">
        <v>8721.3</v>
      </c>
      <c r="F171" s="2">
        <v>0.383659695103635</v>
      </c>
      <c r="G171" s="2">
        <v>0.533294063532592</v>
      </c>
      <c r="H171" s="2">
        <v>0.0272919</v>
      </c>
      <c r="I171" s="6">
        <v>886.2</v>
      </c>
      <c r="J171" s="6">
        <v>2399</v>
      </c>
      <c r="K171">
        <f t="shared" si="2"/>
        <v>0.369403918299291</v>
      </c>
      <c r="L171" s="2">
        <v>3807.936508</v>
      </c>
      <c r="M171" s="2">
        <v>89.3</v>
      </c>
      <c r="N171" s="6">
        <v>10.7</v>
      </c>
      <c r="O171" s="6">
        <v>55.18</v>
      </c>
      <c r="P171" s="6">
        <v>143.4</v>
      </c>
    </row>
    <row r="172" spans="1:16">
      <c r="A172" t="s">
        <v>24</v>
      </c>
      <c r="B172">
        <v>2013</v>
      </c>
      <c r="C172">
        <v>0.171635731210366</v>
      </c>
      <c r="D172" s="6">
        <v>95746</v>
      </c>
      <c r="E172" s="6">
        <v>9405</v>
      </c>
      <c r="F172" s="2">
        <v>0.357113613542434</v>
      </c>
      <c r="G172" s="2">
        <v>0.488965312164661</v>
      </c>
      <c r="H172" s="2">
        <v>0.02640416</v>
      </c>
      <c r="I172" s="6">
        <v>958.77</v>
      </c>
      <c r="J172" s="6">
        <v>2448</v>
      </c>
      <c r="K172">
        <f t="shared" si="2"/>
        <v>0.391654411764706</v>
      </c>
      <c r="L172" s="2">
        <v>3885.714286</v>
      </c>
      <c r="M172" s="2">
        <v>89.6</v>
      </c>
      <c r="N172" s="6">
        <v>10.7</v>
      </c>
      <c r="O172" s="6">
        <v>56.43</v>
      </c>
      <c r="P172" s="6">
        <v>116.9</v>
      </c>
    </row>
    <row r="173" spans="1:16">
      <c r="A173" t="s">
        <v>24</v>
      </c>
      <c r="B173">
        <v>2014</v>
      </c>
      <c r="C173">
        <v>0.166230667123365</v>
      </c>
      <c r="D173" s="6">
        <v>102827</v>
      </c>
      <c r="E173" s="6">
        <v>10409.4</v>
      </c>
      <c r="F173" s="2">
        <v>0.341644967510625</v>
      </c>
      <c r="G173" s="2">
        <v>0.4386512754355</v>
      </c>
      <c r="H173" s="2">
        <v>0.0246066</v>
      </c>
      <c r="I173" s="6">
        <v>792.3</v>
      </c>
      <c r="J173" s="6">
        <v>2467</v>
      </c>
      <c r="K173">
        <f t="shared" si="2"/>
        <v>0.321159302796919</v>
      </c>
      <c r="L173" s="2">
        <v>3915.873016</v>
      </c>
      <c r="M173" s="2">
        <v>89.3</v>
      </c>
      <c r="N173" s="6">
        <v>14</v>
      </c>
      <c r="O173" s="6">
        <v>77.32</v>
      </c>
      <c r="P173" s="6">
        <v>194.8</v>
      </c>
    </row>
    <row r="174" spans="1:16">
      <c r="A174" t="s">
        <v>24</v>
      </c>
      <c r="B174">
        <v>2015</v>
      </c>
      <c r="C174">
        <v>0.177920134828617</v>
      </c>
      <c r="D174" s="6">
        <v>109186</v>
      </c>
      <c r="E174" s="6">
        <v>11089.6</v>
      </c>
      <c r="F174" s="2">
        <v>0.312742217428497</v>
      </c>
      <c r="G174" s="2">
        <v>0.406553352921486</v>
      </c>
      <c r="H174" s="2">
        <v>0.02468773</v>
      </c>
      <c r="I174" s="6">
        <v>793</v>
      </c>
      <c r="J174" s="6">
        <v>2458</v>
      </c>
      <c r="K174">
        <f t="shared" si="2"/>
        <v>0.322620016273393</v>
      </c>
      <c r="L174" s="2">
        <v>3901.587302</v>
      </c>
      <c r="M174" s="2">
        <v>88.53</v>
      </c>
      <c r="N174" s="6">
        <v>14</v>
      </c>
      <c r="O174" s="6">
        <v>104.35</v>
      </c>
      <c r="P174" s="6">
        <v>264.8</v>
      </c>
    </row>
    <row r="175" spans="1:16">
      <c r="A175" t="s">
        <v>24</v>
      </c>
      <c r="B175">
        <v>2016</v>
      </c>
      <c r="C175">
        <v>0.145937821861431</v>
      </c>
      <c r="D175" s="6">
        <v>121369</v>
      </c>
      <c r="E175" s="6">
        <v>11994.8</v>
      </c>
      <c r="F175" s="2">
        <v>0.28675343794961</v>
      </c>
      <c r="G175" s="2">
        <v>0.37615016562385</v>
      </c>
      <c r="H175" s="2">
        <v>0.02487183</v>
      </c>
      <c r="I175" s="6">
        <v>807.29</v>
      </c>
      <c r="J175" s="6">
        <v>2467</v>
      </c>
      <c r="K175">
        <f t="shared" si="2"/>
        <v>0.327235508715038</v>
      </c>
      <c r="L175" s="2">
        <v>3915.873016</v>
      </c>
      <c r="M175" s="2">
        <v>89</v>
      </c>
      <c r="N175" s="6">
        <v>14</v>
      </c>
      <c r="O175" s="6">
        <v>134.41</v>
      </c>
      <c r="P175" s="6">
        <v>252.3</v>
      </c>
    </row>
    <row r="176" spans="1:16">
      <c r="A176" t="s">
        <v>24</v>
      </c>
      <c r="B176">
        <v>2017</v>
      </c>
      <c r="C176">
        <v>0.140092569159181</v>
      </c>
      <c r="D176" s="6">
        <v>133489</v>
      </c>
      <c r="E176" s="6">
        <v>12970.1</v>
      </c>
      <c r="F176" s="2">
        <v>0.289321184510251</v>
      </c>
      <c r="G176" s="2">
        <v>0.345694760820046</v>
      </c>
      <c r="H176" s="2">
        <v>0.02420505</v>
      </c>
      <c r="I176" s="6">
        <v>859.25</v>
      </c>
      <c r="J176" s="6">
        <v>2466</v>
      </c>
      <c r="K176">
        <f t="shared" si="2"/>
        <v>0.348438767234388</v>
      </c>
      <c r="L176" s="2">
        <v>3914.285714</v>
      </c>
      <c r="M176" s="2">
        <v>89.1</v>
      </c>
      <c r="N176" s="6">
        <v>14</v>
      </c>
      <c r="O176" s="6">
        <v>224.66</v>
      </c>
      <c r="P176" s="6">
        <v>140.6</v>
      </c>
    </row>
    <row r="177" spans="1:16">
      <c r="A177" t="s">
        <v>24</v>
      </c>
      <c r="B177">
        <v>2018</v>
      </c>
      <c r="C177">
        <v>0.140687427464155</v>
      </c>
      <c r="D177" s="6">
        <v>145767</v>
      </c>
      <c r="E177" s="6">
        <v>13983</v>
      </c>
      <c r="F177" s="2">
        <v>0.287705696466158</v>
      </c>
      <c r="G177" s="2">
        <v>0.31806241287578</v>
      </c>
      <c r="H177" s="2">
        <v>0.02270459</v>
      </c>
      <c r="I177" s="6">
        <v>839.7</v>
      </c>
      <c r="J177" s="6">
        <v>2475</v>
      </c>
      <c r="K177">
        <f t="shared" si="2"/>
        <v>0.339272727272727</v>
      </c>
      <c r="L177" s="2">
        <v>3928.571429</v>
      </c>
      <c r="M177" s="2">
        <v>89.13</v>
      </c>
      <c r="N177" s="6">
        <v>14</v>
      </c>
      <c r="O177" s="6">
        <v>233.39</v>
      </c>
      <c r="P177" s="6">
        <v>159.9</v>
      </c>
    </row>
    <row r="178" spans="1:16">
      <c r="A178" t="s">
        <v>24</v>
      </c>
      <c r="B178">
        <v>2019</v>
      </c>
      <c r="C178">
        <v>0.142188595748034</v>
      </c>
      <c r="D178" s="6">
        <v>153299</v>
      </c>
      <c r="E178" s="6">
        <v>15052.1</v>
      </c>
      <c r="F178" s="2">
        <v>0.268340195221599</v>
      </c>
      <c r="G178" s="2">
        <v>0.307889943034043</v>
      </c>
      <c r="H178" s="2">
        <v>0.02164042</v>
      </c>
      <c r="I178" s="6">
        <v>822.13</v>
      </c>
      <c r="J178" s="6">
        <v>2481</v>
      </c>
      <c r="K178">
        <f t="shared" si="2"/>
        <v>0.331370415155179</v>
      </c>
      <c r="L178" s="2">
        <v>3938.095238</v>
      </c>
      <c r="M178" s="2">
        <v>89.22</v>
      </c>
      <c r="N178" s="6">
        <v>14</v>
      </c>
      <c r="O178" s="6">
        <v>184.07</v>
      </c>
      <c r="P178" s="6">
        <v>199.1</v>
      </c>
    </row>
    <row r="179" spans="1:16">
      <c r="A179" t="s">
        <v>24</v>
      </c>
      <c r="B179">
        <v>2020</v>
      </c>
      <c r="C179">
        <v>0.142227386352095</v>
      </c>
      <c r="D179" s="6">
        <v>156803</v>
      </c>
      <c r="E179" s="6">
        <v>16178.8</v>
      </c>
      <c r="F179" s="2">
        <v>0.26328878714072</v>
      </c>
      <c r="G179" s="2">
        <v>0.284872944540119</v>
      </c>
      <c r="H179" s="2">
        <v>0.02098256</v>
      </c>
      <c r="I179" s="6">
        <v>861.74</v>
      </c>
      <c r="J179" s="6">
        <v>2488</v>
      </c>
      <c r="K179">
        <f t="shared" si="2"/>
        <v>0.346358520900322</v>
      </c>
      <c r="L179" s="2">
        <v>3949.555556</v>
      </c>
      <c r="M179" s="2">
        <v>89.3</v>
      </c>
      <c r="N179" s="6">
        <v>14</v>
      </c>
      <c r="O179" s="6">
        <v>181.88</v>
      </c>
      <c r="P179" s="6">
        <v>235.9</v>
      </c>
    </row>
    <row r="180" spans="1:16">
      <c r="A180" t="s">
        <v>24</v>
      </c>
      <c r="B180">
        <v>2021</v>
      </c>
      <c r="C180">
        <v>0.137700859074072</v>
      </c>
      <c r="D180" s="6">
        <v>175420</v>
      </c>
      <c r="E180" s="6">
        <v>17364.4</v>
      </c>
      <c r="F180" s="2">
        <v>0.260386409243767</v>
      </c>
      <c r="G180" s="2">
        <v>0.267632613416657</v>
      </c>
      <c r="H180" s="2">
        <v>0.02105162</v>
      </c>
      <c r="I180" s="6">
        <v>1003.06</v>
      </c>
      <c r="J180" s="6">
        <v>2489</v>
      </c>
      <c r="K180">
        <f t="shared" si="2"/>
        <v>0.402997187625552</v>
      </c>
      <c r="L180" s="2">
        <v>3951.47619</v>
      </c>
      <c r="M180" s="2">
        <v>89.3</v>
      </c>
      <c r="N180" s="6">
        <v>14</v>
      </c>
      <c r="O180" s="6">
        <v>159.3</v>
      </c>
      <c r="P180" s="6">
        <v>216.6</v>
      </c>
    </row>
    <row r="181" spans="1:16">
      <c r="A181" t="s">
        <v>24</v>
      </c>
      <c r="B181">
        <v>2022</v>
      </c>
      <c r="C181">
        <v>0.136911459297452</v>
      </c>
      <c r="D181" s="6">
        <v>180536</v>
      </c>
      <c r="E181" s="6">
        <v>18610.4</v>
      </c>
      <c r="F181" s="2">
        <v>0.256611007596388</v>
      </c>
      <c r="G181" s="2">
        <v>0.245248002364913</v>
      </c>
      <c r="H181" s="2">
        <v>0.020183348</v>
      </c>
      <c r="I181" s="6">
        <v>1004.84</v>
      </c>
      <c r="J181" s="6">
        <v>2475</v>
      </c>
      <c r="K181">
        <f t="shared" si="2"/>
        <v>0.40599595959596</v>
      </c>
      <c r="L181" s="2">
        <v>3928.571429</v>
      </c>
      <c r="M181" s="2">
        <v>54.504</v>
      </c>
      <c r="N181" s="6">
        <v>14</v>
      </c>
      <c r="O181" s="6">
        <v>203.81</v>
      </c>
      <c r="P181" s="6">
        <v>133.4</v>
      </c>
    </row>
    <row r="182" spans="1:16">
      <c r="A182" t="s">
        <v>25</v>
      </c>
      <c r="B182">
        <v>2003</v>
      </c>
      <c r="C182">
        <v>0.294189547670174</v>
      </c>
      <c r="D182" s="6">
        <v>16743</v>
      </c>
      <c r="E182" s="6">
        <v>3909.6</v>
      </c>
      <c r="F182" s="2">
        <v>0.545459659725627</v>
      </c>
      <c r="G182" s="2">
        <v>0.888872368981508</v>
      </c>
      <c r="H182" s="2">
        <v>0.07970153</v>
      </c>
      <c r="I182" s="6">
        <v>1336.77</v>
      </c>
      <c r="J182" s="6">
        <v>7458</v>
      </c>
      <c r="K182">
        <f t="shared" si="2"/>
        <v>0.179239742558327</v>
      </c>
      <c r="L182" s="2">
        <v>695.6809701</v>
      </c>
      <c r="M182" s="2">
        <v>46.44</v>
      </c>
      <c r="N182" s="6">
        <v>10.5</v>
      </c>
      <c r="O182" s="6">
        <v>11.43</v>
      </c>
      <c r="P182" s="6">
        <v>486.4</v>
      </c>
    </row>
    <row r="183" spans="1:16">
      <c r="A183" t="s">
        <v>25</v>
      </c>
      <c r="B183">
        <v>2004</v>
      </c>
      <c r="C183">
        <v>0.261874869864331</v>
      </c>
      <c r="D183" s="6">
        <v>19790</v>
      </c>
      <c r="E183" s="6">
        <v>4429</v>
      </c>
      <c r="F183" s="2">
        <v>0.561677381924159</v>
      </c>
      <c r="G183" s="2">
        <v>0.920974020279159</v>
      </c>
      <c r="H183" s="2">
        <v>0.08367218</v>
      </c>
      <c r="I183" s="6">
        <v>1554.89</v>
      </c>
      <c r="J183" s="6">
        <v>7523</v>
      </c>
      <c r="K183">
        <f t="shared" si="2"/>
        <v>0.206684833178253</v>
      </c>
      <c r="L183" s="2">
        <v>701.7677239</v>
      </c>
      <c r="M183" s="2">
        <v>47.6</v>
      </c>
      <c r="N183" s="6">
        <v>10.5</v>
      </c>
      <c r="O183" s="6">
        <v>15.62</v>
      </c>
      <c r="P183" s="6">
        <v>274.5</v>
      </c>
    </row>
    <row r="184" spans="1:16">
      <c r="A184" t="s">
        <v>25</v>
      </c>
      <c r="B184">
        <v>2005</v>
      </c>
      <c r="C184">
        <v>0.244697613154436</v>
      </c>
      <c r="D184" s="6">
        <v>23984</v>
      </c>
      <c r="E184" s="6">
        <v>5339.1</v>
      </c>
      <c r="F184" s="2">
        <v>0.564755287976028</v>
      </c>
      <c r="G184" s="2">
        <v>0.932350328066971</v>
      </c>
      <c r="H184" s="2">
        <v>0.08859777</v>
      </c>
      <c r="I184" s="6">
        <v>2120</v>
      </c>
      <c r="J184" s="6">
        <v>7588</v>
      </c>
      <c r="K184">
        <f t="shared" si="2"/>
        <v>0.279388508170796</v>
      </c>
      <c r="L184" s="2">
        <v>707.858209</v>
      </c>
      <c r="M184" s="2">
        <v>50.5</v>
      </c>
      <c r="N184" s="6">
        <v>10.5</v>
      </c>
      <c r="O184" s="6">
        <v>22</v>
      </c>
      <c r="P184" s="6">
        <v>626.6</v>
      </c>
    </row>
    <row r="185" spans="1:16">
      <c r="A185" t="s">
        <v>25</v>
      </c>
      <c r="B185">
        <v>2006</v>
      </c>
      <c r="C185">
        <v>0.312498123534434</v>
      </c>
      <c r="D185" s="6">
        <v>27868</v>
      </c>
      <c r="E185" s="6">
        <v>6236.4</v>
      </c>
      <c r="F185" s="2">
        <v>0.564531467741328</v>
      </c>
      <c r="G185" s="2">
        <v>0.882367424955745</v>
      </c>
      <c r="H185" s="2">
        <v>0.09062847</v>
      </c>
      <c r="I185" s="6">
        <v>2535.52</v>
      </c>
      <c r="J185" s="6">
        <v>7656</v>
      </c>
      <c r="K185">
        <f t="shared" si="2"/>
        <v>0.331180773249739</v>
      </c>
      <c r="L185" s="2">
        <v>714.1473881</v>
      </c>
      <c r="M185" s="2">
        <v>51.9</v>
      </c>
      <c r="N185" s="6">
        <v>10.5</v>
      </c>
      <c r="O185" s="6">
        <v>32.02</v>
      </c>
      <c r="P185" s="6">
        <v>538.3</v>
      </c>
    </row>
    <row r="186" spans="1:16">
      <c r="A186" t="s">
        <v>25</v>
      </c>
      <c r="B186">
        <v>2007</v>
      </c>
      <c r="C186">
        <v>0.212790025910283</v>
      </c>
      <c r="D186" s="6">
        <v>33798</v>
      </c>
      <c r="E186" s="6">
        <v>7328.2</v>
      </c>
      <c r="F186" s="2">
        <v>0.557841190685075</v>
      </c>
      <c r="G186" s="2">
        <v>0.792831801880839</v>
      </c>
      <c r="H186" s="2">
        <v>0.09069015</v>
      </c>
      <c r="I186" s="6">
        <v>2674.6</v>
      </c>
      <c r="J186" s="6">
        <v>7723</v>
      </c>
      <c r="K186">
        <f t="shared" si="2"/>
        <v>0.34631619836851</v>
      </c>
      <c r="L186" s="2">
        <v>720.4412313</v>
      </c>
      <c r="M186" s="2">
        <v>53.2</v>
      </c>
      <c r="N186" s="6">
        <v>10.5</v>
      </c>
      <c r="O186" s="6">
        <v>48.31</v>
      </c>
      <c r="P186" s="6">
        <v>653.3</v>
      </c>
    </row>
    <row r="187" spans="1:16">
      <c r="A187" t="s">
        <v>25</v>
      </c>
      <c r="B187">
        <v>2008</v>
      </c>
      <c r="C187">
        <v>0.203700798078685</v>
      </c>
      <c r="D187" s="6">
        <v>39967</v>
      </c>
      <c r="E187" s="6">
        <v>8425.6</v>
      </c>
      <c r="F187" s="2">
        <v>0.551004184776462</v>
      </c>
      <c r="G187" s="2">
        <v>0.718424326638768</v>
      </c>
      <c r="H187" s="2">
        <v>0.09078097</v>
      </c>
      <c r="I187" s="6">
        <v>2815.03</v>
      </c>
      <c r="J187" s="6">
        <v>7762</v>
      </c>
      <c r="K187">
        <f t="shared" si="2"/>
        <v>0.362668126771451</v>
      </c>
      <c r="L187" s="2">
        <v>724.1119403</v>
      </c>
      <c r="M187" s="2">
        <v>54.3</v>
      </c>
      <c r="N187" s="6">
        <v>10.5</v>
      </c>
      <c r="O187" s="6">
        <v>95.18</v>
      </c>
      <c r="P187" s="6">
        <v>494.1</v>
      </c>
    </row>
    <row r="188" spans="1:16">
      <c r="A188" t="s">
        <v>25</v>
      </c>
      <c r="B188">
        <v>2009</v>
      </c>
      <c r="C188">
        <v>0.196980336099788</v>
      </c>
      <c r="D188" s="6">
        <v>44272</v>
      </c>
      <c r="E188" s="6">
        <v>9235.4</v>
      </c>
      <c r="F188" s="2">
        <v>0.541522466254928</v>
      </c>
      <c r="G188" s="2">
        <v>0.687781571549996</v>
      </c>
      <c r="H188" s="2">
        <v>0.09055805</v>
      </c>
      <c r="I188" s="6">
        <v>2928.41</v>
      </c>
      <c r="J188" s="6">
        <v>7810</v>
      </c>
      <c r="K188">
        <f t="shared" si="2"/>
        <v>0.374956466069142</v>
      </c>
      <c r="L188" s="2">
        <v>728.5699627</v>
      </c>
      <c r="M188" s="2">
        <v>55.6</v>
      </c>
      <c r="N188" s="6">
        <v>15.8</v>
      </c>
      <c r="O188" s="6">
        <v>147.6</v>
      </c>
      <c r="P188" s="6">
        <v>519.8</v>
      </c>
    </row>
    <row r="189" spans="1:16">
      <c r="A189" t="s">
        <v>25</v>
      </c>
      <c r="B189">
        <v>2010</v>
      </c>
      <c r="C189">
        <v>0.184403293537873</v>
      </c>
      <c r="D189" s="6">
        <v>52787</v>
      </c>
      <c r="E189" s="6">
        <v>10942.8</v>
      </c>
      <c r="F189" s="2">
        <v>0.528070094891975</v>
      </c>
      <c r="G189" s="2">
        <v>0.622795579923593</v>
      </c>
      <c r="H189" s="2">
        <v>0.09201144</v>
      </c>
      <c r="I189" s="6">
        <v>3359.18</v>
      </c>
      <c r="J189" s="6">
        <v>7869</v>
      </c>
      <c r="K189">
        <f t="shared" si="2"/>
        <v>0.426887787520651</v>
      </c>
      <c r="L189" s="2">
        <v>734.0802239</v>
      </c>
      <c r="M189" s="2">
        <v>60.58</v>
      </c>
      <c r="N189" s="6">
        <v>15.8</v>
      </c>
      <c r="O189" s="6">
        <v>139.89</v>
      </c>
      <c r="P189" s="6">
        <v>489.2</v>
      </c>
    </row>
    <row r="190" spans="1:16">
      <c r="A190" t="s">
        <v>25</v>
      </c>
      <c r="B190">
        <v>2011</v>
      </c>
      <c r="C190">
        <v>0.166371023693664</v>
      </c>
      <c r="D190" s="6">
        <v>61464</v>
      </c>
      <c r="E190" s="6">
        <v>13534.2</v>
      </c>
      <c r="F190" s="2">
        <v>0.516617798817343</v>
      </c>
      <c r="G190" s="2">
        <v>0.564894592868024</v>
      </c>
      <c r="H190" s="2">
        <v>0.09104816</v>
      </c>
      <c r="I190" s="6">
        <v>3762.5</v>
      </c>
      <c r="J190" s="6">
        <v>8023</v>
      </c>
      <c r="K190">
        <f t="shared" si="2"/>
        <v>0.468964227844946</v>
      </c>
      <c r="L190" s="2">
        <v>748.4141791</v>
      </c>
      <c r="M190" s="2">
        <v>62.01</v>
      </c>
      <c r="N190" s="6">
        <v>15.8</v>
      </c>
      <c r="O190" s="6">
        <v>170.37</v>
      </c>
      <c r="P190" s="6">
        <v>624.6</v>
      </c>
    </row>
    <row r="191" spans="1:16">
      <c r="A191" t="s">
        <v>25</v>
      </c>
      <c r="B191">
        <v>2012</v>
      </c>
      <c r="C191">
        <v>0.159558062047022</v>
      </c>
      <c r="D191" s="6">
        <v>66533</v>
      </c>
      <c r="E191" s="6">
        <v>15385.6</v>
      </c>
      <c r="F191" s="2">
        <v>0.505583601325093</v>
      </c>
      <c r="G191" s="2">
        <v>0.537221960489294</v>
      </c>
      <c r="H191" s="2">
        <v>0.09237284</v>
      </c>
      <c r="I191" s="6">
        <v>3928.4</v>
      </c>
      <c r="J191" s="6">
        <v>8120</v>
      </c>
      <c r="K191">
        <f t="shared" si="2"/>
        <v>0.483793103448276</v>
      </c>
      <c r="L191" s="2">
        <v>757.4626866</v>
      </c>
      <c r="M191" s="2">
        <v>63.01</v>
      </c>
      <c r="N191" s="6">
        <v>15.8</v>
      </c>
      <c r="O191" s="6">
        <v>193.83</v>
      </c>
      <c r="P191" s="6">
        <v>472</v>
      </c>
    </row>
    <row r="192" spans="1:16">
      <c r="A192" t="s">
        <v>25</v>
      </c>
      <c r="B192">
        <v>2013</v>
      </c>
      <c r="C192">
        <v>0.158573332611023</v>
      </c>
      <c r="D192" s="6">
        <v>72768</v>
      </c>
      <c r="E192" s="6">
        <v>18702.2</v>
      </c>
      <c r="F192" s="2">
        <v>0.49114902593792</v>
      </c>
      <c r="G192" s="2">
        <v>0.492085850910034</v>
      </c>
      <c r="H192" s="2">
        <v>0.09277996</v>
      </c>
      <c r="I192" s="6">
        <v>4320.68</v>
      </c>
      <c r="J192" s="6">
        <v>8192</v>
      </c>
      <c r="K192">
        <f t="shared" si="2"/>
        <v>0.5274267578125</v>
      </c>
      <c r="L192" s="2">
        <v>764.1791045</v>
      </c>
      <c r="M192" s="2">
        <v>64.39</v>
      </c>
      <c r="N192" s="6">
        <v>15.8</v>
      </c>
      <c r="O192" s="6">
        <v>229.18</v>
      </c>
      <c r="P192" s="6">
        <v>357.6</v>
      </c>
    </row>
    <row r="193" spans="1:16">
      <c r="A193" t="s">
        <v>25</v>
      </c>
      <c r="B193">
        <v>2014</v>
      </c>
      <c r="C193">
        <v>0.156655615900448</v>
      </c>
      <c r="D193" s="6">
        <v>78711</v>
      </c>
      <c r="E193" s="6">
        <v>22510.6</v>
      </c>
      <c r="F193" s="2">
        <v>0.478922729270945</v>
      </c>
      <c r="G193" s="2">
        <v>0.460632418383323</v>
      </c>
      <c r="H193" s="2">
        <v>0.09009413</v>
      </c>
      <c r="I193" s="6">
        <v>4347.57</v>
      </c>
      <c r="J193" s="6">
        <v>8281</v>
      </c>
      <c r="K193">
        <f t="shared" si="2"/>
        <v>0.525005434126313</v>
      </c>
      <c r="L193" s="2">
        <v>772.4813433</v>
      </c>
      <c r="M193" s="2">
        <v>65.7</v>
      </c>
      <c r="N193" s="6">
        <v>15.2</v>
      </c>
      <c r="O193" s="6">
        <v>237.78</v>
      </c>
      <c r="P193" s="6">
        <v>502.3</v>
      </c>
    </row>
    <row r="194" spans="1:16">
      <c r="A194" t="s">
        <v>25</v>
      </c>
      <c r="B194">
        <v>2015</v>
      </c>
      <c r="C194">
        <v>0.158254606379997</v>
      </c>
      <c r="D194" s="6">
        <v>85871</v>
      </c>
      <c r="E194" s="6">
        <v>25245.2</v>
      </c>
      <c r="F194" s="2">
        <v>0.468337358730996</v>
      </c>
      <c r="G194" s="2">
        <v>0.426266456532021</v>
      </c>
      <c r="H194" s="2">
        <v>0.08983724</v>
      </c>
      <c r="I194" s="6">
        <v>4361</v>
      </c>
      <c r="J194" s="6">
        <v>8315</v>
      </c>
      <c r="K194">
        <f t="shared" si="2"/>
        <v>0.524473842453397</v>
      </c>
      <c r="L194" s="2">
        <v>775.6529851</v>
      </c>
      <c r="M194" s="2">
        <v>67.49</v>
      </c>
      <c r="N194" s="6">
        <v>15.2</v>
      </c>
      <c r="O194" s="6">
        <v>308.45</v>
      </c>
      <c r="P194" s="6">
        <v>730.5</v>
      </c>
    </row>
    <row r="195" spans="1:16">
      <c r="A195" t="s">
        <v>25</v>
      </c>
      <c r="B195">
        <v>2016</v>
      </c>
      <c r="C195">
        <v>0.144924016911605</v>
      </c>
      <c r="D195" s="6">
        <v>92658</v>
      </c>
      <c r="E195" s="6">
        <v>28654.7</v>
      </c>
      <c r="F195" s="2">
        <v>0.453019939005235</v>
      </c>
      <c r="G195" s="2">
        <v>0.403485932290381</v>
      </c>
      <c r="H195" s="2">
        <v>0.09136755</v>
      </c>
      <c r="I195" s="6">
        <v>4709.37</v>
      </c>
      <c r="J195" s="6">
        <v>8381</v>
      </c>
      <c r="K195">
        <f t="shared" ref="K195:K258" si="3">I195/J195</f>
        <v>0.561910273237084</v>
      </c>
      <c r="L195" s="2">
        <v>781.8097015</v>
      </c>
      <c r="M195" s="2">
        <v>68.93</v>
      </c>
      <c r="N195" s="6">
        <v>15.2</v>
      </c>
      <c r="O195" s="6">
        <v>285.11</v>
      </c>
      <c r="P195" s="6">
        <v>928.6</v>
      </c>
    </row>
    <row r="196" spans="1:16">
      <c r="A196" t="s">
        <v>25</v>
      </c>
      <c r="B196">
        <v>2017</v>
      </c>
      <c r="C196">
        <v>0.136985987142793</v>
      </c>
      <c r="D196" s="6">
        <v>102202</v>
      </c>
      <c r="E196" s="6">
        <v>31892.4</v>
      </c>
      <c r="F196" s="2">
        <v>0.455621184630685</v>
      </c>
      <c r="G196" s="2">
        <v>0.368022284901094</v>
      </c>
      <c r="H196" s="2">
        <v>0.09207682</v>
      </c>
      <c r="I196" s="6">
        <v>4914.74</v>
      </c>
      <c r="J196" s="6">
        <v>8423</v>
      </c>
      <c r="K196">
        <f t="shared" si="3"/>
        <v>0.583490442835094</v>
      </c>
      <c r="L196" s="2">
        <v>785.7276119</v>
      </c>
      <c r="M196" s="2">
        <v>70.18</v>
      </c>
      <c r="N196" s="6">
        <v>15.2</v>
      </c>
      <c r="O196" s="6">
        <v>292.1</v>
      </c>
      <c r="P196" s="6">
        <v>490.3</v>
      </c>
    </row>
    <row r="197" spans="1:16">
      <c r="A197" t="s">
        <v>25</v>
      </c>
      <c r="B197">
        <v>2018</v>
      </c>
      <c r="C197">
        <v>0.126931817003616</v>
      </c>
      <c r="D197" s="6">
        <v>110508</v>
      </c>
      <c r="E197" s="6">
        <v>35270.8</v>
      </c>
      <c r="F197" s="2">
        <v>0.451995330852849</v>
      </c>
      <c r="G197" s="2">
        <v>0.339403653779306</v>
      </c>
      <c r="H197" s="2">
        <v>0.08881308</v>
      </c>
      <c r="I197" s="6">
        <v>5085.08</v>
      </c>
      <c r="J197" s="6">
        <v>8446</v>
      </c>
      <c r="K197">
        <f t="shared" si="3"/>
        <v>0.60206961875444</v>
      </c>
      <c r="L197" s="2">
        <v>787.8731343</v>
      </c>
      <c r="M197" s="2">
        <v>71.19</v>
      </c>
      <c r="N197" s="6">
        <v>15.2</v>
      </c>
      <c r="O197" s="6">
        <v>317.99</v>
      </c>
      <c r="P197" s="6">
        <v>470.6</v>
      </c>
    </row>
    <row r="198" spans="1:16">
      <c r="A198" t="s">
        <v>25</v>
      </c>
      <c r="B198">
        <v>2019</v>
      </c>
      <c r="C198">
        <v>0.117959280753172</v>
      </c>
      <c r="D198" s="6">
        <v>116650</v>
      </c>
      <c r="E198" s="6">
        <v>38832.3</v>
      </c>
      <c r="F198" s="2">
        <v>0.440998491741066</v>
      </c>
      <c r="G198" s="2">
        <v>0.32968837424283</v>
      </c>
      <c r="H198" s="2">
        <v>0.08642447</v>
      </c>
      <c r="I198" s="6">
        <v>5166.43</v>
      </c>
      <c r="J198" s="6">
        <v>8469</v>
      </c>
      <c r="K198">
        <f t="shared" si="3"/>
        <v>0.610040146416342</v>
      </c>
      <c r="L198" s="2">
        <v>790.0186567</v>
      </c>
      <c r="M198" s="2">
        <v>72.47</v>
      </c>
      <c r="N198" s="6">
        <v>15.2</v>
      </c>
      <c r="O198" s="6">
        <v>372.77</v>
      </c>
      <c r="P198" s="6">
        <v>287.5</v>
      </c>
    </row>
    <row r="199" spans="1:16">
      <c r="A199" t="s">
        <v>25</v>
      </c>
      <c r="B199">
        <v>2020</v>
      </c>
      <c r="C199">
        <v>0.111465856956965</v>
      </c>
      <c r="D199" s="6">
        <v>121333</v>
      </c>
      <c r="E199" s="6">
        <v>42570.5</v>
      </c>
      <c r="F199" s="2">
        <v>0.434124097708635</v>
      </c>
      <c r="G199" s="2">
        <v>0.317801973976657</v>
      </c>
      <c r="H199" s="2">
        <v>0.0848622</v>
      </c>
      <c r="I199" s="6">
        <v>5217.54</v>
      </c>
      <c r="J199" s="6">
        <v>8477</v>
      </c>
      <c r="K199">
        <f t="shared" si="3"/>
        <v>0.615493688805002</v>
      </c>
      <c r="L199" s="2">
        <v>790.7891791</v>
      </c>
      <c r="M199" s="2">
        <v>73.44</v>
      </c>
      <c r="N199" s="6">
        <v>15.2</v>
      </c>
      <c r="O199" s="6">
        <v>336.9</v>
      </c>
      <c r="P199" s="6">
        <v>641.3</v>
      </c>
    </row>
    <row r="200" spans="1:16">
      <c r="A200" t="s">
        <v>25</v>
      </c>
      <c r="B200">
        <v>2021</v>
      </c>
      <c r="C200">
        <v>0.103120282061621</v>
      </c>
      <c r="D200" s="6">
        <v>138255</v>
      </c>
      <c r="E200" s="6">
        <v>46477.7</v>
      </c>
      <c r="F200" s="2">
        <v>0.448740293238745</v>
      </c>
      <c r="G200" s="2">
        <v>0.295418953867542</v>
      </c>
      <c r="H200" s="2">
        <v>0.08542145</v>
      </c>
      <c r="I200" s="6">
        <v>5968.89</v>
      </c>
      <c r="J200" s="6">
        <v>8505</v>
      </c>
      <c r="K200">
        <f t="shared" si="3"/>
        <v>0.701809523809524</v>
      </c>
      <c r="L200" s="2">
        <v>793.4141791</v>
      </c>
      <c r="M200" s="2">
        <v>73.94</v>
      </c>
      <c r="N200" s="6">
        <v>15.2</v>
      </c>
      <c r="O200" s="6">
        <v>336.8</v>
      </c>
      <c r="P200" s="6">
        <v>589.8</v>
      </c>
    </row>
    <row r="201" spans="1:16">
      <c r="A201" t="s">
        <v>25</v>
      </c>
      <c r="B201">
        <v>2022</v>
      </c>
      <c r="C201">
        <v>0.100297009220581</v>
      </c>
      <c r="D201" s="6">
        <v>143466</v>
      </c>
      <c r="E201" s="6">
        <v>50545.3</v>
      </c>
      <c r="F201" s="2">
        <v>0.454839691525413</v>
      </c>
      <c r="G201" s="2">
        <v>0.291546490922526</v>
      </c>
      <c r="H201" s="2">
        <v>0.082509682</v>
      </c>
      <c r="I201" s="6">
        <v>6179.71</v>
      </c>
      <c r="J201" s="6">
        <v>8515</v>
      </c>
      <c r="K201">
        <f t="shared" si="3"/>
        <v>0.72574398120963</v>
      </c>
      <c r="L201" s="2">
        <v>794.3097015</v>
      </c>
      <c r="M201" s="2">
        <v>64.082</v>
      </c>
      <c r="N201" s="6">
        <v>15.2</v>
      </c>
      <c r="O201" s="6">
        <v>279.2</v>
      </c>
      <c r="P201" s="6">
        <v>226.6</v>
      </c>
    </row>
    <row r="202" spans="1:16">
      <c r="A202" t="s">
        <v>26</v>
      </c>
      <c r="B202">
        <v>2003</v>
      </c>
      <c r="C202">
        <v>0.214207455155648</v>
      </c>
      <c r="D202" s="6">
        <v>20249</v>
      </c>
      <c r="E202" s="6">
        <v>3338.7</v>
      </c>
      <c r="F202" s="2">
        <v>0.525591075932495</v>
      </c>
      <c r="G202" s="2">
        <v>0.976332355896405</v>
      </c>
      <c r="H202" s="2">
        <v>0.06526787</v>
      </c>
      <c r="I202" s="6">
        <v>1101.74</v>
      </c>
      <c r="J202" s="6">
        <v>4857</v>
      </c>
      <c r="K202">
        <f t="shared" si="3"/>
        <v>0.226835495161622</v>
      </c>
      <c r="L202" s="2">
        <v>459.9242424</v>
      </c>
      <c r="M202" s="2">
        <v>51.98</v>
      </c>
      <c r="N202" s="6">
        <v>57.4</v>
      </c>
      <c r="O202" s="6">
        <v>16.93</v>
      </c>
      <c r="P202" s="6">
        <v>1897.2</v>
      </c>
    </row>
    <row r="203" spans="1:16">
      <c r="A203" t="s">
        <v>26</v>
      </c>
      <c r="B203">
        <v>2004</v>
      </c>
      <c r="C203">
        <v>0.19312127266358</v>
      </c>
      <c r="D203" s="6">
        <v>23476</v>
      </c>
      <c r="E203" s="6">
        <v>3909.8</v>
      </c>
      <c r="F203" s="2">
        <v>0.536522064779091</v>
      </c>
      <c r="G203" s="2">
        <v>0.942744794070771</v>
      </c>
      <c r="H203" s="2">
        <v>0.06360997</v>
      </c>
      <c r="I203" s="6">
        <v>1231.9</v>
      </c>
      <c r="J203" s="6">
        <v>4925</v>
      </c>
      <c r="K203">
        <f t="shared" si="3"/>
        <v>0.250131979695431</v>
      </c>
      <c r="L203" s="2">
        <v>466.4015152</v>
      </c>
      <c r="M203" s="2">
        <v>52.67</v>
      </c>
      <c r="N203" s="6">
        <v>57.4</v>
      </c>
      <c r="O203" s="6">
        <v>19.48</v>
      </c>
      <c r="P203" s="6">
        <v>1431.5</v>
      </c>
    </row>
    <row r="204" spans="1:16">
      <c r="A204" t="s">
        <v>26</v>
      </c>
      <c r="B204">
        <v>2005</v>
      </c>
      <c r="C204">
        <v>0.18958696550373</v>
      </c>
      <c r="D204" s="6">
        <v>26277</v>
      </c>
      <c r="E204" s="6">
        <v>4636.5</v>
      </c>
      <c r="F204" s="2">
        <v>0.53373809322782</v>
      </c>
      <c r="G204" s="2">
        <v>0.923504985301229</v>
      </c>
      <c r="H204" s="2">
        <v>0.06633614</v>
      </c>
      <c r="I204" s="6">
        <v>1456.42</v>
      </c>
      <c r="J204" s="6">
        <v>4991</v>
      </c>
      <c r="K204">
        <f t="shared" si="3"/>
        <v>0.291809256661992</v>
      </c>
      <c r="L204" s="2">
        <v>472.6231061</v>
      </c>
      <c r="M204" s="2">
        <v>56.02</v>
      </c>
      <c r="N204" s="6">
        <v>57.4</v>
      </c>
      <c r="O204" s="6">
        <v>22.61</v>
      </c>
      <c r="P204" s="6">
        <v>2077.2</v>
      </c>
    </row>
    <row r="205" spans="1:16">
      <c r="A205" t="s">
        <v>26</v>
      </c>
      <c r="B205">
        <v>2006</v>
      </c>
      <c r="C205">
        <v>0.328490503426874</v>
      </c>
      <c r="D205" s="6">
        <v>30415</v>
      </c>
      <c r="E205" s="6">
        <v>5584.5</v>
      </c>
      <c r="F205" s="2">
        <v>0.542106948447006</v>
      </c>
      <c r="G205" s="2">
        <v>0.863999817025754</v>
      </c>
      <c r="H205" s="2">
        <v>0.06733363</v>
      </c>
      <c r="I205" s="6">
        <v>1766.36</v>
      </c>
      <c r="J205" s="6">
        <v>5072</v>
      </c>
      <c r="K205">
        <f t="shared" si="3"/>
        <v>0.348257097791798</v>
      </c>
      <c r="L205" s="2">
        <v>480.2840909</v>
      </c>
      <c r="M205" s="2">
        <v>56.5</v>
      </c>
      <c r="N205" s="6">
        <v>57.4</v>
      </c>
      <c r="O205" s="6">
        <v>26.5</v>
      </c>
      <c r="P205" s="6">
        <v>1829.5</v>
      </c>
    </row>
    <row r="206" spans="1:16">
      <c r="A206" t="s">
        <v>26</v>
      </c>
      <c r="B206">
        <v>2007</v>
      </c>
      <c r="C206">
        <v>0.180799130704725</v>
      </c>
      <c r="D206" s="6">
        <v>36454</v>
      </c>
      <c r="E206" s="6">
        <v>6509.5</v>
      </c>
      <c r="F206" s="2">
        <v>0.54306330472103</v>
      </c>
      <c r="G206" s="2">
        <v>0.779662553648069</v>
      </c>
      <c r="H206" s="2">
        <v>0.06726039</v>
      </c>
      <c r="I206" s="6">
        <v>1915.15</v>
      </c>
      <c r="J206" s="6">
        <v>5155</v>
      </c>
      <c r="K206">
        <f t="shared" si="3"/>
        <v>0.371513094083414</v>
      </c>
      <c r="L206" s="2">
        <v>488.1534091</v>
      </c>
      <c r="M206" s="2">
        <v>57.2</v>
      </c>
      <c r="N206" s="6">
        <v>57.4</v>
      </c>
      <c r="O206" s="6">
        <v>31.38</v>
      </c>
      <c r="P206" s="6">
        <v>1777.2</v>
      </c>
    </row>
    <row r="207" spans="1:16">
      <c r="A207" t="s">
        <v>26</v>
      </c>
      <c r="B207">
        <v>2008</v>
      </c>
      <c r="C207">
        <v>0.180904001368974</v>
      </c>
      <c r="D207" s="6">
        <v>41061</v>
      </c>
      <c r="E207" s="6">
        <v>7394.1</v>
      </c>
      <c r="F207" s="2">
        <v>0.54089341589694</v>
      </c>
      <c r="G207" s="2">
        <v>0.709761987540287</v>
      </c>
      <c r="H207" s="2">
        <v>0.06762374</v>
      </c>
      <c r="I207" s="6">
        <v>1905.09</v>
      </c>
      <c r="J207" s="6">
        <v>5212</v>
      </c>
      <c r="K207">
        <f t="shared" si="3"/>
        <v>0.365519953952417</v>
      </c>
      <c r="L207" s="2">
        <v>493.5984848</v>
      </c>
      <c r="M207" s="2">
        <v>57.6</v>
      </c>
      <c r="N207" s="6">
        <v>57.4</v>
      </c>
      <c r="O207" s="6">
        <v>46.52</v>
      </c>
      <c r="P207" s="6">
        <v>1680.2</v>
      </c>
    </row>
    <row r="208" spans="1:16">
      <c r="A208" t="s">
        <v>26</v>
      </c>
      <c r="B208">
        <v>2009</v>
      </c>
      <c r="C208">
        <v>0.172723164030689</v>
      </c>
      <c r="D208" s="6">
        <v>43543</v>
      </c>
      <c r="E208" s="6">
        <v>8320.4</v>
      </c>
      <c r="F208" s="2">
        <v>0.520388723684729</v>
      </c>
      <c r="G208" s="2">
        <v>0.681755475459518</v>
      </c>
      <c r="H208" s="2">
        <v>0.06753457</v>
      </c>
      <c r="I208" s="6">
        <v>2246.28</v>
      </c>
      <c r="J208" s="6">
        <v>5276</v>
      </c>
      <c r="K208">
        <f t="shared" si="3"/>
        <v>0.425754359363154</v>
      </c>
      <c r="L208" s="2">
        <v>499.5738636</v>
      </c>
      <c r="M208" s="2">
        <v>57.9</v>
      </c>
      <c r="N208" s="6">
        <v>59.1</v>
      </c>
      <c r="O208" s="6">
        <v>55.42</v>
      </c>
      <c r="P208" s="6">
        <v>1808.4</v>
      </c>
    </row>
    <row r="209" spans="1:16">
      <c r="A209" t="s">
        <v>26</v>
      </c>
      <c r="B209">
        <v>2010</v>
      </c>
      <c r="C209">
        <v>0.159418933343127</v>
      </c>
      <c r="D209" s="6">
        <v>51110</v>
      </c>
      <c r="E209" s="6">
        <v>9796.7</v>
      </c>
      <c r="F209" s="2">
        <v>0.516093124427461</v>
      </c>
      <c r="G209" s="2">
        <v>0.615523779283866</v>
      </c>
      <c r="H209" s="2">
        <v>0.06716692</v>
      </c>
      <c r="I209" s="6">
        <v>2568.36</v>
      </c>
      <c r="J209" s="6">
        <v>5447</v>
      </c>
      <c r="K209">
        <f t="shared" si="3"/>
        <v>0.471518266935928</v>
      </c>
      <c r="L209" s="2">
        <v>515.7679924</v>
      </c>
      <c r="M209" s="2">
        <v>61.62</v>
      </c>
      <c r="N209" s="6">
        <v>59.1</v>
      </c>
      <c r="O209" s="6">
        <v>82.07</v>
      </c>
      <c r="P209" s="6">
        <v>2608.7</v>
      </c>
    </row>
    <row r="210" spans="1:16">
      <c r="A210" t="s">
        <v>26</v>
      </c>
      <c r="B210">
        <v>2011</v>
      </c>
      <c r="C210">
        <v>0.149851030406745</v>
      </c>
      <c r="D210" s="6">
        <v>57828</v>
      </c>
      <c r="E210" s="6">
        <v>11643.9</v>
      </c>
      <c r="F210" s="2">
        <v>0.510786443487324</v>
      </c>
      <c r="G210" s="2">
        <v>0.559633085123749</v>
      </c>
      <c r="H210" s="2">
        <v>0.0662808</v>
      </c>
      <c r="I210" s="6">
        <v>2777.4</v>
      </c>
      <c r="J210" s="6">
        <v>5570</v>
      </c>
      <c r="K210">
        <f t="shared" si="3"/>
        <v>0.498635547576302</v>
      </c>
      <c r="L210" s="2">
        <v>527.4621212</v>
      </c>
      <c r="M210" s="2">
        <v>62.29</v>
      </c>
      <c r="N210" s="6">
        <v>59.1</v>
      </c>
      <c r="O210" s="6">
        <v>78.11</v>
      </c>
      <c r="P210" s="6">
        <v>1365.7</v>
      </c>
    </row>
    <row r="211" spans="1:16">
      <c r="A211" t="s">
        <v>26</v>
      </c>
      <c r="B211">
        <v>2012</v>
      </c>
      <c r="C211">
        <v>0.143517804184188</v>
      </c>
      <c r="D211" s="6">
        <v>61097</v>
      </c>
      <c r="E211" s="6">
        <v>12496.1</v>
      </c>
      <c r="F211" s="2">
        <v>0.495616943552515</v>
      </c>
      <c r="G211" s="2">
        <v>0.525739331751129</v>
      </c>
      <c r="H211" s="2">
        <v>0.06474001</v>
      </c>
      <c r="I211" s="6">
        <v>2710</v>
      </c>
      <c r="J211" s="6">
        <v>5685</v>
      </c>
      <c r="K211">
        <f t="shared" si="3"/>
        <v>0.476693051890941</v>
      </c>
      <c r="L211" s="2">
        <v>538.3522727</v>
      </c>
      <c r="M211" s="2">
        <v>62.91</v>
      </c>
      <c r="N211" s="6">
        <v>59.1</v>
      </c>
      <c r="O211" s="6">
        <v>77.7</v>
      </c>
      <c r="P211" s="6">
        <v>2641.3</v>
      </c>
    </row>
    <row r="212" spans="1:16">
      <c r="A212" t="s">
        <v>26</v>
      </c>
      <c r="B212">
        <v>2013</v>
      </c>
      <c r="C212">
        <v>0.145899631056965</v>
      </c>
      <c r="D212" s="6">
        <v>65105</v>
      </c>
      <c r="E212" s="6">
        <v>13593.2</v>
      </c>
      <c r="F212" s="2">
        <v>0.486487065617417</v>
      </c>
      <c r="G212" s="2">
        <v>0.499268774809426</v>
      </c>
      <c r="H212" s="2">
        <v>0.06463555</v>
      </c>
      <c r="I212" s="6">
        <v>2941.8</v>
      </c>
      <c r="J212" s="6">
        <v>5784</v>
      </c>
      <c r="K212">
        <f t="shared" si="3"/>
        <v>0.508609958506224</v>
      </c>
      <c r="L212" s="2">
        <v>547.7272727</v>
      </c>
      <c r="M212" s="2">
        <v>63.94</v>
      </c>
      <c r="N212" s="6">
        <v>59.1</v>
      </c>
      <c r="O212" s="6">
        <v>98.14</v>
      </c>
      <c r="P212" s="6">
        <v>1697.2</v>
      </c>
    </row>
    <row r="213" spans="1:16">
      <c r="A213" t="s">
        <v>26</v>
      </c>
      <c r="B213">
        <v>2014</v>
      </c>
      <c r="C213">
        <v>0.144019683989102</v>
      </c>
      <c r="D213" s="6">
        <v>68569</v>
      </c>
      <c r="E213" s="6">
        <v>14794.8</v>
      </c>
      <c r="F213" s="2">
        <v>0.489230077329569</v>
      </c>
      <c r="G213" s="2">
        <v>0.470384149312279</v>
      </c>
      <c r="H213" s="2">
        <v>0.06302297</v>
      </c>
      <c r="I213" s="6">
        <v>2885.29</v>
      </c>
      <c r="J213" s="6">
        <v>5890</v>
      </c>
      <c r="K213">
        <f t="shared" si="3"/>
        <v>0.489862478777589</v>
      </c>
      <c r="L213" s="2">
        <v>557.7651515</v>
      </c>
      <c r="M213" s="2">
        <v>64.96</v>
      </c>
      <c r="N213" s="6">
        <v>59.4</v>
      </c>
      <c r="O213" s="6">
        <v>120.65</v>
      </c>
      <c r="P213" s="6">
        <v>2057.3</v>
      </c>
    </row>
    <row r="214" spans="1:16">
      <c r="A214" t="s">
        <v>26</v>
      </c>
      <c r="B214">
        <v>2015</v>
      </c>
      <c r="C214">
        <v>0.148996199679037</v>
      </c>
      <c r="D214" s="6">
        <v>73276</v>
      </c>
      <c r="E214" s="6">
        <v>15858.8</v>
      </c>
      <c r="F214" s="2">
        <v>0.473631104379225</v>
      </c>
      <c r="G214" s="2">
        <v>0.450724814228286</v>
      </c>
      <c r="H214" s="2">
        <v>0.06242245</v>
      </c>
      <c r="I214" s="6">
        <v>3011</v>
      </c>
      <c r="J214" s="6">
        <v>5985</v>
      </c>
      <c r="K214">
        <f t="shared" si="3"/>
        <v>0.503091060985798</v>
      </c>
      <c r="L214" s="2">
        <v>566.7613636</v>
      </c>
      <c r="M214" s="2">
        <v>66.32</v>
      </c>
      <c r="N214" s="6">
        <v>59.4</v>
      </c>
      <c r="O214" s="6">
        <v>167.89</v>
      </c>
      <c r="P214" s="6">
        <v>2547.5</v>
      </c>
    </row>
    <row r="215" spans="1:16">
      <c r="A215" t="s">
        <v>26</v>
      </c>
      <c r="B215">
        <v>2016</v>
      </c>
      <c r="C215">
        <v>0.139344426623083</v>
      </c>
      <c r="D215" s="6">
        <v>78384</v>
      </c>
      <c r="E215" s="6">
        <v>17106.7</v>
      </c>
      <c r="F215" s="2">
        <v>0.456496804503322</v>
      </c>
      <c r="G215" s="2">
        <v>0.429085368434418</v>
      </c>
      <c r="H215" s="2">
        <v>0.06482648</v>
      </c>
      <c r="I215" s="6">
        <v>3197.66</v>
      </c>
      <c r="J215" s="6">
        <v>6072</v>
      </c>
      <c r="K215">
        <f t="shared" si="3"/>
        <v>0.526623847167325</v>
      </c>
      <c r="L215" s="2">
        <v>575</v>
      </c>
      <c r="M215" s="2">
        <v>67.72</v>
      </c>
      <c r="N215" s="6">
        <v>59.4</v>
      </c>
      <c r="O215" s="6">
        <v>161.4</v>
      </c>
      <c r="P215" s="6">
        <v>2378.1</v>
      </c>
    </row>
    <row r="216" spans="1:16">
      <c r="A216" t="s">
        <v>26</v>
      </c>
      <c r="B216">
        <v>2017</v>
      </c>
      <c r="C216">
        <v>0.131624315815236</v>
      </c>
      <c r="D216" s="6">
        <v>85612</v>
      </c>
      <c r="E216" s="6">
        <v>19036.3</v>
      </c>
      <c r="F216" s="2">
        <v>0.443613068692501</v>
      </c>
      <c r="G216" s="2">
        <v>0.401312136114085</v>
      </c>
      <c r="H216" s="2">
        <v>0.06646887</v>
      </c>
      <c r="I216" s="6">
        <v>3312.33</v>
      </c>
      <c r="J216" s="6">
        <v>6170</v>
      </c>
      <c r="K216">
        <f t="shared" si="3"/>
        <v>0.536844408427877</v>
      </c>
      <c r="L216" s="2">
        <v>584.280303</v>
      </c>
      <c r="M216" s="2">
        <v>68.91</v>
      </c>
      <c r="N216" s="6">
        <v>59.4</v>
      </c>
      <c r="O216" s="6">
        <v>190.15</v>
      </c>
      <c r="P216" s="6">
        <v>1592.1</v>
      </c>
    </row>
    <row r="217" spans="1:16">
      <c r="A217" t="s">
        <v>26</v>
      </c>
      <c r="B217">
        <v>2018</v>
      </c>
      <c r="C217">
        <v>0.118059021764412</v>
      </c>
      <c r="D217" s="6">
        <v>93230</v>
      </c>
      <c r="E217" s="6">
        <v>20895.6</v>
      </c>
      <c r="F217" s="2">
        <v>0.436325487735075</v>
      </c>
      <c r="G217" s="2">
        <v>0.373688856400036</v>
      </c>
      <c r="H217" s="2">
        <v>0.06569132</v>
      </c>
      <c r="I217" s="6">
        <v>3438.44</v>
      </c>
      <c r="J217" s="6">
        <v>6273</v>
      </c>
      <c r="K217">
        <f t="shared" si="3"/>
        <v>0.54813326956799</v>
      </c>
      <c r="L217" s="2">
        <v>594.0340909</v>
      </c>
      <c r="M217" s="2">
        <v>70.02</v>
      </c>
      <c r="N217" s="6">
        <v>59.4</v>
      </c>
      <c r="O217" s="6">
        <v>194.75</v>
      </c>
      <c r="P217" s="6">
        <v>1520.4</v>
      </c>
    </row>
    <row r="218" spans="1:16">
      <c r="A218" t="s">
        <v>26</v>
      </c>
      <c r="B218">
        <v>2019</v>
      </c>
      <c r="C218">
        <v>0.113979997634204</v>
      </c>
      <c r="D218" s="6">
        <v>98770</v>
      </c>
      <c r="E218" s="6">
        <v>22918.1</v>
      </c>
      <c r="F218" s="2">
        <v>0.421047997182287</v>
      </c>
      <c r="G218" s="2">
        <v>0.358505971630751</v>
      </c>
      <c r="H218" s="2">
        <v>0.06492799</v>
      </c>
      <c r="I218" s="6">
        <v>3537.65</v>
      </c>
      <c r="J218" s="6">
        <v>6375</v>
      </c>
      <c r="K218">
        <f t="shared" si="3"/>
        <v>0.554925490196078</v>
      </c>
      <c r="L218" s="2">
        <v>603.6931818</v>
      </c>
      <c r="M218" s="2">
        <v>71.58</v>
      </c>
      <c r="N218" s="6">
        <v>59.4</v>
      </c>
      <c r="O218" s="6">
        <v>269.55</v>
      </c>
      <c r="P218" s="6">
        <v>2281</v>
      </c>
    </row>
    <row r="219" spans="1:16">
      <c r="A219" t="s">
        <v>26</v>
      </c>
      <c r="B219">
        <v>2020</v>
      </c>
      <c r="C219">
        <v>0.111523024236418</v>
      </c>
      <c r="D219" s="6">
        <v>100738</v>
      </c>
      <c r="E219" s="6">
        <v>25116.5</v>
      </c>
      <c r="F219" s="2">
        <v>0.407510693455312</v>
      </c>
      <c r="G219" s="2">
        <v>0.381207962392428</v>
      </c>
      <c r="H219" s="2">
        <v>0.06430568</v>
      </c>
      <c r="I219" s="6">
        <v>3531.31</v>
      </c>
      <c r="J219" s="6">
        <v>6468</v>
      </c>
      <c r="K219">
        <f t="shared" si="3"/>
        <v>0.545966295609153</v>
      </c>
      <c r="L219" s="2">
        <v>612.5284091</v>
      </c>
      <c r="M219" s="2">
        <v>72.17</v>
      </c>
      <c r="N219" s="6">
        <v>59.4</v>
      </c>
      <c r="O219" s="6">
        <v>220.59</v>
      </c>
      <c r="P219" s="6">
        <v>1598.7</v>
      </c>
    </row>
    <row r="220" spans="1:16">
      <c r="A220" t="s">
        <v>26</v>
      </c>
      <c r="B220">
        <v>2021</v>
      </c>
      <c r="C220">
        <v>0.100413315546163</v>
      </c>
      <c r="D220" s="6">
        <v>113839</v>
      </c>
      <c r="E220" s="6">
        <v>27504</v>
      </c>
      <c r="F220" s="2">
        <v>0.421038130328143</v>
      </c>
      <c r="G220" s="2">
        <v>0.35958147399812</v>
      </c>
      <c r="H220" s="2">
        <v>0.06633064</v>
      </c>
      <c r="I220" s="6">
        <v>4222.5</v>
      </c>
      <c r="J220" s="6">
        <v>6540</v>
      </c>
      <c r="K220">
        <f t="shared" si="3"/>
        <v>0.645642201834862</v>
      </c>
      <c r="L220" s="2">
        <v>619.3181818</v>
      </c>
      <c r="M220" s="2">
        <v>72.66</v>
      </c>
      <c r="N220" s="6">
        <v>59.4</v>
      </c>
      <c r="O220" s="6">
        <v>203.56</v>
      </c>
      <c r="P220" s="6">
        <v>2067.5</v>
      </c>
    </row>
    <row r="221" spans="1:16">
      <c r="A221" t="s">
        <v>26</v>
      </c>
      <c r="B221">
        <v>2022</v>
      </c>
      <c r="C221">
        <v>0.0992414740297252</v>
      </c>
      <c r="D221" s="6">
        <v>119022</v>
      </c>
      <c r="E221" s="6">
        <v>30095</v>
      </c>
      <c r="F221" s="2">
        <v>0.42726666786763</v>
      </c>
      <c r="G221" s="2">
        <v>0.374601430347138</v>
      </c>
      <c r="H221" s="2">
        <v>0.039118162</v>
      </c>
      <c r="I221" s="6">
        <v>4401.6</v>
      </c>
      <c r="J221" s="6">
        <v>6577</v>
      </c>
      <c r="K221">
        <f t="shared" si="3"/>
        <v>0.669241295423445</v>
      </c>
      <c r="L221" s="2">
        <v>622.8219697</v>
      </c>
      <c r="M221" s="2">
        <v>56.126</v>
      </c>
      <c r="N221" s="6">
        <v>59.4</v>
      </c>
      <c r="O221" s="6">
        <v>223.16</v>
      </c>
      <c r="P221" s="6">
        <v>1424.6</v>
      </c>
    </row>
    <row r="222" spans="1:16">
      <c r="A222" t="s">
        <v>27</v>
      </c>
      <c r="B222">
        <v>2003</v>
      </c>
      <c r="C222">
        <v>0.442028478936538</v>
      </c>
      <c r="D222" s="6">
        <v>7001</v>
      </c>
      <c r="E222" s="6">
        <v>2038.1</v>
      </c>
      <c r="F222" s="2">
        <v>0.361576674868843</v>
      </c>
      <c r="G222" s="2">
        <v>1.26679279446585</v>
      </c>
      <c r="H222" s="2">
        <v>0.02358675</v>
      </c>
      <c r="I222" s="6">
        <v>557.15</v>
      </c>
      <c r="J222" s="6">
        <v>6163</v>
      </c>
      <c r="K222">
        <f t="shared" si="3"/>
        <v>0.090402401427876</v>
      </c>
      <c r="L222" s="2">
        <v>439.9000714</v>
      </c>
      <c r="M222" s="2">
        <v>32</v>
      </c>
      <c r="N222" s="6">
        <v>26.1</v>
      </c>
      <c r="O222" s="6">
        <v>38.08</v>
      </c>
      <c r="P222" s="6">
        <v>1121.1</v>
      </c>
    </row>
    <row r="223" spans="1:16">
      <c r="A223" t="s">
        <v>27</v>
      </c>
      <c r="B223">
        <v>2004</v>
      </c>
      <c r="C223">
        <v>0.396712512884466</v>
      </c>
      <c r="D223" s="6">
        <v>8279</v>
      </c>
      <c r="E223" s="6">
        <v>2296.4</v>
      </c>
      <c r="F223" s="2">
        <v>0.359946189389951</v>
      </c>
      <c r="G223" s="2">
        <v>1.17308884599637</v>
      </c>
      <c r="H223" s="2">
        <v>0.02370699</v>
      </c>
      <c r="I223" s="6">
        <v>607.1</v>
      </c>
      <c r="J223" s="6">
        <v>6228</v>
      </c>
      <c r="K223">
        <f t="shared" si="3"/>
        <v>0.0974791265253693</v>
      </c>
      <c r="L223" s="2">
        <v>444.5396146</v>
      </c>
      <c r="M223" s="2">
        <v>33.5</v>
      </c>
      <c r="N223" s="6">
        <v>26.1</v>
      </c>
      <c r="O223" s="6">
        <v>38.81</v>
      </c>
      <c r="P223" s="6">
        <v>774.9</v>
      </c>
    </row>
    <row r="224" spans="1:16">
      <c r="A224" t="s">
        <v>27</v>
      </c>
      <c r="B224">
        <v>2005</v>
      </c>
      <c r="C224">
        <v>0.381730375161668</v>
      </c>
      <c r="D224" s="6">
        <v>9193</v>
      </c>
      <c r="E224" s="6">
        <v>2399.4</v>
      </c>
      <c r="F224" s="2">
        <v>0.387145650909988</v>
      </c>
      <c r="G224" s="2">
        <v>1.14836413608415</v>
      </c>
      <c r="H224" s="2">
        <v>0.02351449</v>
      </c>
      <c r="I224" s="6">
        <v>648.41</v>
      </c>
      <c r="J224" s="6">
        <v>6120</v>
      </c>
      <c r="K224">
        <f t="shared" si="3"/>
        <v>0.105949346405229</v>
      </c>
      <c r="L224" s="2">
        <v>436.8372591</v>
      </c>
      <c r="M224" s="2">
        <v>35.5</v>
      </c>
      <c r="N224" s="6">
        <v>26.1</v>
      </c>
      <c r="O224" s="6">
        <v>37.91</v>
      </c>
      <c r="P224" s="6">
        <v>1178.8</v>
      </c>
    </row>
    <row r="225" spans="1:16">
      <c r="A225" t="s">
        <v>27</v>
      </c>
      <c r="B225">
        <v>2006</v>
      </c>
      <c r="C225">
        <v>0.359985933217452</v>
      </c>
      <c r="D225" s="6">
        <v>10630</v>
      </c>
      <c r="E225" s="6">
        <v>2707.2</v>
      </c>
      <c r="F225" s="2">
        <v>0.40816577696414</v>
      </c>
      <c r="G225" s="2">
        <v>1.09170192144978</v>
      </c>
      <c r="H225" s="2">
        <v>0.02335348</v>
      </c>
      <c r="I225" s="6">
        <v>734.39</v>
      </c>
      <c r="J225" s="6">
        <v>6110</v>
      </c>
      <c r="K225">
        <f t="shared" si="3"/>
        <v>0.120194762684124</v>
      </c>
      <c r="L225" s="2">
        <v>436.1170592</v>
      </c>
      <c r="M225" s="2">
        <v>37.1</v>
      </c>
      <c r="N225" s="6">
        <v>26.1</v>
      </c>
      <c r="O225" s="6">
        <v>39.03</v>
      </c>
      <c r="P225" s="6">
        <v>949.3</v>
      </c>
    </row>
    <row r="226" spans="1:16">
      <c r="A226" t="s">
        <v>27</v>
      </c>
      <c r="B226">
        <v>2007</v>
      </c>
      <c r="C226">
        <v>0.312190022088669</v>
      </c>
      <c r="D226" s="6">
        <v>12989</v>
      </c>
      <c r="E226" s="6">
        <v>3225.5</v>
      </c>
      <c r="F226" s="2">
        <v>0.424574393069407</v>
      </c>
      <c r="G226" s="2">
        <v>0.976133272892112</v>
      </c>
      <c r="H226" s="2">
        <v>0.02362796</v>
      </c>
      <c r="I226" s="6">
        <v>873.43</v>
      </c>
      <c r="J226" s="6">
        <v>6118</v>
      </c>
      <c r="K226">
        <f t="shared" si="3"/>
        <v>0.142763975155279</v>
      </c>
      <c r="L226" s="2">
        <v>436.6880799</v>
      </c>
      <c r="M226" s="2">
        <v>38.7</v>
      </c>
      <c r="N226" s="6">
        <v>26.1</v>
      </c>
      <c r="O226" s="6">
        <v>37.65</v>
      </c>
      <c r="P226" s="6">
        <v>1165.3</v>
      </c>
    </row>
    <row r="227" spans="1:16">
      <c r="A227" t="s">
        <v>27</v>
      </c>
      <c r="B227">
        <v>2008</v>
      </c>
      <c r="C227">
        <v>0.288248947285235</v>
      </c>
      <c r="D227" s="6">
        <v>15535</v>
      </c>
      <c r="E227" s="6">
        <v>3679.3</v>
      </c>
      <c r="F227" s="2">
        <v>0.440705212393751</v>
      </c>
      <c r="G227" s="2">
        <v>0.874686111140296</v>
      </c>
      <c r="H227" s="2">
        <v>0.02500373</v>
      </c>
      <c r="I227" s="6">
        <v>1124.83</v>
      </c>
      <c r="J227" s="6">
        <v>6135</v>
      </c>
      <c r="K227">
        <f t="shared" si="3"/>
        <v>0.183346373268134</v>
      </c>
      <c r="L227" s="2">
        <v>437.9014989</v>
      </c>
      <c r="M227" s="2">
        <v>40.5</v>
      </c>
      <c r="N227" s="6">
        <v>26.1</v>
      </c>
      <c r="O227" s="6">
        <v>54.74</v>
      </c>
      <c r="P227" s="6">
        <v>1141.4</v>
      </c>
    </row>
    <row r="228" spans="1:16">
      <c r="A228" t="s">
        <v>27</v>
      </c>
      <c r="B228">
        <v>2009</v>
      </c>
      <c r="C228">
        <v>0.278028135569072</v>
      </c>
      <c r="D228" s="6">
        <v>17715</v>
      </c>
      <c r="E228" s="6">
        <v>4188.3</v>
      </c>
      <c r="F228" s="2">
        <v>0.452723038832181</v>
      </c>
      <c r="G228" s="2">
        <v>0.818798494206007</v>
      </c>
      <c r="H228" s="2">
        <v>0.02602272</v>
      </c>
      <c r="I228" s="6">
        <v>1320.24</v>
      </c>
      <c r="J228" s="6">
        <v>6131</v>
      </c>
      <c r="K228">
        <f t="shared" si="3"/>
        <v>0.215338443973251</v>
      </c>
      <c r="L228" s="2">
        <v>437.6159886</v>
      </c>
      <c r="M228" s="2">
        <v>42.1</v>
      </c>
      <c r="N228" s="6">
        <v>27.5</v>
      </c>
      <c r="O228" s="6">
        <v>59.27</v>
      </c>
      <c r="P228" s="6">
        <v>1195.3</v>
      </c>
    </row>
    <row r="229" spans="1:16">
      <c r="A229" t="s">
        <v>27</v>
      </c>
      <c r="B229">
        <v>2010</v>
      </c>
      <c r="C229">
        <v>0.263494028766842</v>
      </c>
      <c r="D229" s="6">
        <v>21923</v>
      </c>
      <c r="E229" s="6">
        <v>4873.4</v>
      </c>
      <c r="F229" s="2">
        <v>0.482724267536114</v>
      </c>
      <c r="G229" s="2">
        <v>0.732584642787061</v>
      </c>
      <c r="H229" s="2">
        <v>0.02566526</v>
      </c>
      <c r="I229" s="6">
        <v>1443.85</v>
      </c>
      <c r="J229" s="6">
        <v>5957</v>
      </c>
      <c r="K229">
        <f t="shared" si="3"/>
        <v>0.242378714117845</v>
      </c>
      <c r="L229" s="2">
        <v>425.1755889</v>
      </c>
      <c r="M229" s="2">
        <v>43.01</v>
      </c>
      <c r="N229" s="6">
        <v>27.5</v>
      </c>
      <c r="O229" s="6">
        <v>64.72</v>
      </c>
      <c r="P229" s="6">
        <v>1526.9</v>
      </c>
    </row>
    <row r="230" spans="1:16">
      <c r="A230" t="s">
        <v>27</v>
      </c>
      <c r="B230">
        <v>2011</v>
      </c>
      <c r="C230">
        <v>0.245053868300911</v>
      </c>
      <c r="D230" s="6">
        <v>27303</v>
      </c>
      <c r="E230" s="6">
        <v>5995.1</v>
      </c>
      <c r="F230" s="2">
        <v>0.502864616915056</v>
      </c>
      <c r="G230" s="2">
        <v>0.649067541096353</v>
      </c>
      <c r="H230" s="2">
        <v>0.02596841</v>
      </c>
      <c r="I230" s="6">
        <v>1635.35</v>
      </c>
      <c r="J230" s="6">
        <v>5972</v>
      </c>
      <c r="K230">
        <f t="shared" si="3"/>
        <v>0.273836235766912</v>
      </c>
      <c r="L230" s="2">
        <v>426.2669522</v>
      </c>
      <c r="M230" s="2">
        <v>44.8</v>
      </c>
      <c r="N230" s="6">
        <v>27.5</v>
      </c>
      <c r="O230" s="6">
        <v>81.96</v>
      </c>
      <c r="P230" s="6">
        <v>1010.1</v>
      </c>
    </row>
    <row r="231" spans="1:16">
      <c r="A231" t="s">
        <v>27</v>
      </c>
      <c r="B231">
        <v>2012</v>
      </c>
      <c r="C231">
        <v>0.233011264615656</v>
      </c>
      <c r="D231" s="6">
        <v>30697</v>
      </c>
      <c r="E231" s="6">
        <v>6562.7</v>
      </c>
      <c r="F231" s="2">
        <v>0.50420081017572</v>
      </c>
      <c r="G231" s="2">
        <v>0.619241945948304</v>
      </c>
      <c r="H231" s="2">
        <v>0.02744629</v>
      </c>
      <c r="I231" s="6">
        <v>1767.5</v>
      </c>
      <c r="J231" s="6">
        <v>5978</v>
      </c>
      <c r="K231">
        <f t="shared" si="3"/>
        <v>0.295667447306792</v>
      </c>
      <c r="L231" s="2">
        <v>426.6952177</v>
      </c>
      <c r="M231" s="2">
        <v>46.3</v>
      </c>
      <c r="N231" s="6">
        <v>27.5</v>
      </c>
      <c r="O231" s="6">
        <v>95.52</v>
      </c>
      <c r="P231" s="6">
        <v>1172.6</v>
      </c>
    </row>
    <row r="232" spans="1:16">
      <c r="A232" t="s">
        <v>27</v>
      </c>
      <c r="B232">
        <v>2013</v>
      </c>
      <c r="C232">
        <v>0.224277940406182</v>
      </c>
      <c r="D232" s="6">
        <v>34404</v>
      </c>
      <c r="E232" s="6">
        <v>6981.3</v>
      </c>
      <c r="F232" s="2">
        <v>0.497153128643607</v>
      </c>
      <c r="G232" s="2">
        <v>0.568208317139526</v>
      </c>
      <c r="H232" s="2">
        <v>0.02860301</v>
      </c>
      <c r="I232" s="6">
        <v>1970.04</v>
      </c>
      <c r="J232" s="6">
        <v>5988</v>
      </c>
      <c r="K232">
        <f t="shared" si="3"/>
        <v>0.328997995991984</v>
      </c>
      <c r="L232" s="2">
        <v>427.4089936</v>
      </c>
      <c r="M232" s="2">
        <v>47.87</v>
      </c>
      <c r="N232" s="6">
        <v>27.5</v>
      </c>
      <c r="O232" s="6">
        <v>108.42</v>
      </c>
      <c r="P232" s="6">
        <v>974.5</v>
      </c>
    </row>
    <row r="233" spans="1:16">
      <c r="A233" t="s">
        <v>27</v>
      </c>
      <c r="B233">
        <v>2014</v>
      </c>
      <c r="C233">
        <v>0.218351335477487</v>
      </c>
      <c r="D233" s="6">
        <v>37580</v>
      </c>
      <c r="E233" s="6">
        <v>7839.2</v>
      </c>
      <c r="F233" s="2">
        <v>0.48768855712998</v>
      </c>
      <c r="G233" s="2">
        <v>0.533356128189985</v>
      </c>
      <c r="H233" s="2">
        <v>0.02849163</v>
      </c>
      <c r="I233" s="6">
        <v>2033.91</v>
      </c>
      <c r="J233" s="6">
        <v>5997</v>
      </c>
      <c r="K233">
        <f t="shared" si="3"/>
        <v>0.339154577288644</v>
      </c>
      <c r="L233" s="2">
        <v>428.0513919</v>
      </c>
      <c r="M233" s="2">
        <v>49.31</v>
      </c>
      <c r="N233" s="6">
        <v>28.7</v>
      </c>
      <c r="O233" s="6">
        <v>104.76</v>
      </c>
      <c r="P233" s="6">
        <v>1285.4</v>
      </c>
    </row>
    <row r="234" spans="1:16">
      <c r="A234" t="s">
        <v>27</v>
      </c>
      <c r="B234">
        <v>2015</v>
      </c>
      <c r="C234">
        <v>0.216907435040389</v>
      </c>
      <c r="D234" s="6">
        <v>39692</v>
      </c>
      <c r="E234" s="6">
        <v>8522.5</v>
      </c>
      <c r="F234" s="2">
        <v>0.454794555037094</v>
      </c>
      <c r="G234" s="2">
        <v>0.516172076941153</v>
      </c>
      <c r="H234" s="2">
        <v>0.02880208</v>
      </c>
      <c r="I234" s="6">
        <v>2062</v>
      </c>
      <c r="J234" s="6">
        <v>6011</v>
      </c>
      <c r="K234">
        <f t="shared" si="3"/>
        <v>0.343037764099152</v>
      </c>
      <c r="L234" s="2">
        <v>429.0506781</v>
      </c>
      <c r="M234" s="2">
        <v>50.97</v>
      </c>
      <c r="N234" s="6">
        <v>28.7</v>
      </c>
      <c r="O234" s="6">
        <v>124.83</v>
      </c>
      <c r="P234" s="6">
        <v>1495.3</v>
      </c>
    </row>
    <row r="235" spans="1:16">
      <c r="A235" t="s">
        <v>27</v>
      </c>
      <c r="B235">
        <v>2016</v>
      </c>
      <c r="C235">
        <v>0.194242251585769</v>
      </c>
      <c r="D235" s="6">
        <v>43686</v>
      </c>
      <c r="E235" s="6">
        <v>9541.6</v>
      </c>
      <c r="F235" s="2">
        <v>0.437799579590766</v>
      </c>
      <c r="G235" s="2">
        <v>0.481341964519893</v>
      </c>
      <c r="H235" s="2">
        <v>0.03004303</v>
      </c>
      <c r="I235" s="6">
        <v>2252.69</v>
      </c>
      <c r="J235" s="6">
        <v>6033</v>
      </c>
      <c r="K235">
        <f t="shared" si="3"/>
        <v>0.373394662688546</v>
      </c>
      <c r="L235" s="2">
        <v>430.620985</v>
      </c>
      <c r="M235" s="2">
        <v>52.62</v>
      </c>
      <c r="N235" s="6">
        <v>28.7</v>
      </c>
      <c r="O235" s="6">
        <v>133.64</v>
      </c>
      <c r="P235" s="6">
        <v>2018.2</v>
      </c>
    </row>
    <row r="236" spans="1:16">
      <c r="A236" t="s">
        <v>27</v>
      </c>
      <c r="B236">
        <v>2017</v>
      </c>
      <c r="C236">
        <v>0.182439448525532</v>
      </c>
      <c r="D236" s="6">
        <v>49092</v>
      </c>
      <c r="E236" s="6">
        <v>10670.4</v>
      </c>
      <c r="F236" s="2">
        <v>0.427318861579313</v>
      </c>
      <c r="G236" s="2">
        <v>0.438701720570693</v>
      </c>
      <c r="H236" s="2">
        <v>0.03046269</v>
      </c>
      <c r="I236" s="6">
        <v>2456.28</v>
      </c>
      <c r="J236" s="6">
        <v>6057</v>
      </c>
      <c r="K236">
        <f t="shared" si="3"/>
        <v>0.405527488855869</v>
      </c>
      <c r="L236" s="2">
        <v>432.3340471</v>
      </c>
      <c r="M236" s="2">
        <v>54.29</v>
      </c>
      <c r="N236" s="6">
        <v>28.7</v>
      </c>
      <c r="O236" s="6">
        <v>198.64</v>
      </c>
      <c r="P236" s="6">
        <v>1260.8</v>
      </c>
    </row>
    <row r="237" spans="1:16">
      <c r="A237" t="s">
        <v>27</v>
      </c>
      <c r="B237">
        <v>2018</v>
      </c>
      <c r="C237">
        <v>0.171641149573092</v>
      </c>
      <c r="D237" s="6">
        <v>56063</v>
      </c>
      <c r="E237" s="6">
        <v>11871.8</v>
      </c>
      <c r="F237" s="2">
        <v>0.414408322037935</v>
      </c>
      <c r="G237" s="2">
        <v>0.390904092511518</v>
      </c>
      <c r="H237" s="2">
        <v>0.03094219</v>
      </c>
      <c r="I237" s="6">
        <v>2734.49</v>
      </c>
      <c r="J237" s="6">
        <v>6076</v>
      </c>
      <c r="K237">
        <f t="shared" si="3"/>
        <v>0.450047728768927</v>
      </c>
      <c r="L237" s="2">
        <v>433.6902213</v>
      </c>
      <c r="M237" s="2">
        <v>55.65</v>
      </c>
      <c r="N237" s="6">
        <v>28.7</v>
      </c>
      <c r="O237" s="6">
        <v>209.32</v>
      </c>
      <c r="P237" s="6">
        <v>1328.9</v>
      </c>
    </row>
    <row r="238" spans="1:16">
      <c r="A238" t="s">
        <v>27</v>
      </c>
      <c r="B238">
        <v>2019</v>
      </c>
      <c r="C238">
        <v>0.163372579097166</v>
      </c>
      <c r="D238" s="6">
        <v>60561</v>
      </c>
      <c r="E238" s="6">
        <v>13168.5</v>
      </c>
      <c r="F238" s="2">
        <v>0.406291134602597</v>
      </c>
      <c r="G238" s="2">
        <v>0.376436742614431</v>
      </c>
      <c r="H238" s="2">
        <v>0.0317407</v>
      </c>
      <c r="I238" s="6">
        <v>2886.67</v>
      </c>
      <c r="J238" s="6">
        <v>6092</v>
      </c>
      <c r="K238">
        <f t="shared" si="3"/>
        <v>0.47384602757715</v>
      </c>
      <c r="L238" s="2">
        <v>434.8322627</v>
      </c>
      <c r="M238" s="2">
        <v>57.02</v>
      </c>
      <c r="N238" s="6">
        <v>28.7</v>
      </c>
      <c r="O238" s="6">
        <v>312.12</v>
      </c>
      <c r="P238" s="6">
        <v>850.9</v>
      </c>
    </row>
    <row r="239" spans="1:16">
      <c r="A239" t="s">
        <v>27</v>
      </c>
      <c r="B239">
        <v>2020</v>
      </c>
      <c r="C239">
        <v>0.156532135586632</v>
      </c>
      <c r="D239" s="6">
        <v>62411</v>
      </c>
      <c r="E239" s="6">
        <v>14563.9</v>
      </c>
      <c r="F239" s="2">
        <v>0.399787186527068</v>
      </c>
      <c r="G239" s="2">
        <v>0.38616186960577</v>
      </c>
      <c r="H239" s="2">
        <v>0.03232592</v>
      </c>
      <c r="I239" s="6">
        <v>2808.98</v>
      </c>
      <c r="J239" s="6">
        <v>6105</v>
      </c>
      <c r="K239">
        <f t="shared" si="3"/>
        <v>0.460111384111384</v>
      </c>
      <c r="L239" s="2">
        <v>435.7430407</v>
      </c>
      <c r="M239" s="2">
        <v>58.33</v>
      </c>
      <c r="N239" s="6">
        <v>28.7</v>
      </c>
      <c r="O239" s="6">
        <v>190.83</v>
      </c>
      <c r="P239" s="6">
        <v>2099.5</v>
      </c>
    </row>
    <row r="240" spans="1:16">
      <c r="A240" t="s">
        <v>27</v>
      </c>
      <c r="B240">
        <v>2021</v>
      </c>
      <c r="C240">
        <v>0.150983942420269</v>
      </c>
      <c r="D240" s="6">
        <v>69676</v>
      </c>
      <c r="E240" s="6">
        <v>16061.1</v>
      </c>
      <c r="F240" s="2">
        <v>0.405028051083984</v>
      </c>
      <c r="G240" s="2">
        <v>0.360450085985735</v>
      </c>
      <c r="H240" s="2">
        <v>0.03266008</v>
      </c>
      <c r="I240" s="6">
        <v>3083.39</v>
      </c>
      <c r="J240" s="6">
        <v>6113</v>
      </c>
      <c r="K240">
        <f t="shared" si="3"/>
        <v>0.504398822182235</v>
      </c>
      <c r="L240" s="2">
        <v>436.331192</v>
      </c>
      <c r="M240" s="2">
        <v>59.39</v>
      </c>
      <c r="N240" s="6">
        <v>28.7</v>
      </c>
      <c r="O240" s="6">
        <v>199.45</v>
      </c>
      <c r="P240" s="6">
        <v>1445.9</v>
      </c>
    </row>
    <row r="241" spans="1:16">
      <c r="A241" t="s">
        <v>27</v>
      </c>
      <c r="B241">
        <v>2022</v>
      </c>
      <c r="C241">
        <v>0.147330658489098</v>
      </c>
      <c r="D241" s="6">
        <v>72888</v>
      </c>
      <c r="E241" s="6">
        <v>17663</v>
      </c>
      <c r="F241" s="2">
        <v>0.412654012654013</v>
      </c>
      <c r="G241" s="2">
        <v>0.352595404595405</v>
      </c>
      <c r="H241" s="2">
        <v>0.046757988</v>
      </c>
      <c r="I241" s="6">
        <v>3316.42</v>
      </c>
      <c r="J241" s="6">
        <v>6127</v>
      </c>
      <c r="K241">
        <f t="shared" si="3"/>
        <v>0.541279582177248</v>
      </c>
      <c r="L241" s="2">
        <v>437.3304782</v>
      </c>
      <c r="M241" s="2">
        <v>59.11</v>
      </c>
      <c r="N241" s="6">
        <v>28.7</v>
      </c>
      <c r="O241" s="6">
        <v>200.69</v>
      </c>
      <c r="P241" s="6">
        <v>890.8</v>
      </c>
    </row>
    <row r="242" spans="1:16">
      <c r="A242" t="s">
        <v>28</v>
      </c>
      <c r="B242">
        <v>2003</v>
      </c>
      <c r="C242">
        <v>0.255582484495581</v>
      </c>
      <c r="D242" s="6">
        <v>14330</v>
      </c>
      <c r="E242" s="6">
        <v>1921</v>
      </c>
      <c r="F242" s="2">
        <v>0.465977278182254</v>
      </c>
      <c r="G242" s="2">
        <v>0.961736938955116</v>
      </c>
      <c r="H242" s="2">
        <v>0.03101725</v>
      </c>
      <c r="I242" s="6">
        <v>610.7</v>
      </c>
      <c r="J242" s="6">
        <v>3502</v>
      </c>
      <c r="K242">
        <f t="shared" si="3"/>
        <v>0.174386065105654</v>
      </c>
      <c r="L242" s="2">
        <v>282.4177419</v>
      </c>
      <c r="M242" s="2">
        <v>44.92</v>
      </c>
      <c r="N242" s="6">
        <v>63.1</v>
      </c>
      <c r="O242" s="6">
        <v>10.14</v>
      </c>
      <c r="P242" s="6">
        <v>3278.4</v>
      </c>
    </row>
    <row r="243" spans="1:16">
      <c r="A243" t="s">
        <v>28</v>
      </c>
      <c r="B243">
        <v>2004</v>
      </c>
      <c r="C243">
        <v>0.228816712001983</v>
      </c>
      <c r="D243" s="6">
        <v>16248</v>
      </c>
      <c r="E243" s="6">
        <v>2150.1</v>
      </c>
      <c r="F243" s="2">
        <v>0.479455891878644</v>
      </c>
      <c r="G243" s="2">
        <v>0.953887361915933</v>
      </c>
      <c r="H243" s="2">
        <v>0.03054152</v>
      </c>
      <c r="I243" s="6">
        <v>674.64</v>
      </c>
      <c r="J243" s="6">
        <v>3529</v>
      </c>
      <c r="K243">
        <f t="shared" si="3"/>
        <v>0.19117030320204</v>
      </c>
      <c r="L243" s="2">
        <v>284.6048387</v>
      </c>
      <c r="M243" s="2">
        <v>45.76</v>
      </c>
      <c r="N243" s="6">
        <v>63.1</v>
      </c>
      <c r="O243" s="6">
        <v>10.14</v>
      </c>
      <c r="P243" s="6">
        <v>2028.6</v>
      </c>
    </row>
    <row r="244" spans="1:16">
      <c r="A244" t="s">
        <v>28</v>
      </c>
      <c r="B244">
        <v>2005</v>
      </c>
      <c r="C244">
        <v>0.209191839354945</v>
      </c>
      <c r="D244" s="6">
        <v>18107</v>
      </c>
      <c r="E244" s="6">
        <v>2393.2</v>
      </c>
      <c r="F244" s="2">
        <v>0.482565661289066</v>
      </c>
      <c r="G244" s="2">
        <v>0.959719429506664</v>
      </c>
      <c r="H244" s="2">
        <v>0.03055993</v>
      </c>
      <c r="I244" s="6">
        <v>778.25</v>
      </c>
      <c r="J244" s="6">
        <v>3557</v>
      </c>
      <c r="K244">
        <f t="shared" si="3"/>
        <v>0.218793927466967</v>
      </c>
      <c r="L244" s="2">
        <v>286.8870968</v>
      </c>
      <c r="M244" s="2">
        <v>49.4</v>
      </c>
      <c r="N244" s="6">
        <v>63.1</v>
      </c>
      <c r="O244" s="6">
        <v>10.14</v>
      </c>
      <c r="P244" s="6">
        <v>3975.5</v>
      </c>
    </row>
    <row r="245" spans="1:16">
      <c r="A245" t="s">
        <v>28</v>
      </c>
      <c r="B245">
        <v>2006</v>
      </c>
      <c r="C245">
        <v>0.300528827457424</v>
      </c>
      <c r="D245" s="6">
        <v>20915</v>
      </c>
      <c r="E245" s="6">
        <v>2846.6</v>
      </c>
      <c r="F245" s="2">
        <v>0.485994697801462</v>
      </c>
      <c r="G245" s="2">
        <v>0.915871783198993</v>
      </c>
      <c r="H245" s="2">
        <v>0.03057135</v>
      </c>
      <c r="I245" s="6">
        <v>904.25</v>
      </c>
      <c r="J245" s="6">
        <v>3585</v>
      </c>
      <c r="K245">
        <f t="shared" si="3"/>
        <v>0.252231520223152</v>
      </c>
      <c r="L245" s="2">
        <v>289.0741935</v>
      </c>
      <c r="M245" s="2">
        <v>50.4</v>
      </c>
      <c r="N245" s="6">
        <v>63.1</v>
      </c>
      <c r="O245" s="6">
        <v>10.16</v>
      </c>
      <c r="P245" s="6">
        <v>4577.7</v>
      </c>
    </row>
    <row r="246" spans="1:16">
      <c r="A246" t="s">
        <v>28</v>
      </c>
      <c r="B246">
        <v>2007</v>
      </c>
      <c r="C246">
        <v>0.19640391256378</v>
      </c>
      <c r="D246" s="6">
        <v>25915</v>
      </c>
      <c r="E246" s="6">
        <v>3218.1</v>
      </c>
      <c r="F246" s="2">
        <v>0.484880329415802</v>
      </c>
      <c r="G246" s="2">
        <v>0.812190100368877</v>
      </c>
      <c r="H246" s="2">
        <v>0.03073166</v>
      </c>
      <c r="I246" s="6">
        <v>1038.28</v>
      </c>
      <c r="J246" s="6">
        <v>3612</v>
      </c>
      <c r="K246">
        <f t="shared" si="3"/>
        <v>0.287452934662237</v>
      </c>
      <c r="L246" s="2">
        <v>291.2612903</v>
      </c>
      <c r="M246" s="2">
        <v>51.4</v>
      </c>
      <c r="N246" s="6">
        <v>63.1</v>
      </c>
      <c r="O246" s="6">
        <v>9.7</v>
      </c>
      <c r="P246" s="6">
        <v>3005.7</v>
      </c>
    </row>
    <row r="247" spans="1:16">
      <c r="A247" t="s">
        <v>28</v>
      </c>
      <c r="B247">
        <v>2008</v>
      </c>
      <c r="C247">
        <v>0.188683267014864</v>
      </c>
      <c r="D247" s="6">
        <v>30153</v>
      </c>
      <c r="E247" s="6">
        <v>3859.4</v>
      </c>
      <c r="F247" s="2">
        <v>0.492782524378419</v>
      </c>
      <c r="G247" s="2">
        <v>0.755044914835617</v>
      </c>
      <c r="H247" s="2">
        <v>0.03125326</v>
      </c>
      <c r="I247" s="6">
        <v>1127.27</v>
      </c>
      <c r="J247" s="6">
        <v>3639</v>
      </c>
      <c r="K247">
        <f t="shared" si="3"/>
        <v>0.309774663369057</v>
      </c>
      <c r="L247" s="2">
        <v>293.4483871</v>
      </c>
      <c r="M247" s="2">
        <v>53</v>
      </c>
      <c r="N247" s="6">
        <v>63.1</v>
      </c>
      <c r="O247" s="6">
        <v>14.03</v>
      </c>
      <c r="P247" s="6">
        <v>2886.3</v>
      </c>
    </row>
    <row r="248" spans="1:16">
      <c r="A248" t="s">
        <v>28</v>
      </c>
      <c r="B248">
        <v>2009</v>
      </c>
      <c r="C248">
        <v>0.167128362022785</v>
      </c>
      <c r="D248" s="6">
        <v>33999</v>
      </c>
      <c r="E248" s="6">
        <v>4140.4</v>
      </c>
      <c r="F248" s="2">
        <v>0.493561817025149</v>
      </c>
      <c r="G248" s="2">
        <v>0.717984232692602</v>
      </c>
      <c r="H248" s="2">
        <v>0.03101281</v>
      </c>
      <c r="I248" s="6">
        <v>1170.71</v>
      </c>
      <c r="J248" s="6">
        <v>3666</v>
      </c>
      <c r="K248">
        <f t="shared" si="3"/>
        <v>0.319342607746863</v>
      </c>
      <c r="L248" s="2">
        <v>295.6354839</v>
      </c>
      <c r="M248" s="2">
        <v>55.1</v>
      </c>
      <c r="N248" s="6">
        <v>66</v>
      </c>
      <c r="O248" s="6">
        <v>33.83</v>
      </c>
      <c r="P248" s="6">
        <v>2214.9</v>
      </c>
    </row>
    <row r="249" spans="1:16">
      <c r="A249" t="s">
        <v>28</v>
      </c>
      <c r="B249">
        <v>2010</v>
      </c>
      <c r="C249">
        <v>0.161922065468194</v>
      </c>
      <c r="D249" s="6">
        <v>40773</v>
      </c>
      <c r="E249" s="6">
        <v>4852.2</v>
      </c>
      <c r="F249" s="2">
        <v>0.513601066488919</v>
      </c>
      <c r="G249" s="2">
        <v>0.653792367938677</v>
      </c>
      <c r="H249" s="2">
        <v>0.03131256</v>
      </c>
      <c r="I249" s="6">
        <v>1356.32</v>
      </c>
      <c r="J249" s="6">
        <v>3693</v>
      </c>
      <c r="K249">
        <f t="shared" si="3"/>
        <v>0.367267803953425</v>
      </c>
      <c r="L249" s="2">
        <v>297.8225806</v>
      </c>
      <c r="M249" s="2">
        <v>57.1</v>
      </c>
      <c r="N249" s="6">
        <v>66</v>
      </c>
      <c r="O249" s="6">
        <v>39.79</v>
      </c>
      <c r="P249" s="6">
        <v>4491.7</v>
      </c>
    </row>
    <row r="250" spans="1:16">
      <c r="A250" t="s">
        <v>28</v>
      </c>
      <c r="B250">
        <v>2011</v>
      </c>
      <c r="C250">
        <v>0.163800977903529</v>
      </c>
      <c r="D250" s="6">
        <v>47928</v>
      </c>
      <c r="E250" s="6">
        <v>5544.3</v>
      </c>
      <c r="F250" s="2">
        <v>0.519966290316279</v>
      </c>
      <c r="G250" s="2">
        <v>0.594551756084765</v>
      </c>
      <c r="H250" s="2">
        <v>0.03223459</v>
      </c>
      <c r="I250" s="6">
        <v>1580.45</v>
      </c>
      <c r="J250" s="6">
        <v>3784</v>
      </c>
      <c r="K250">
        <f t="shared" si="3"/>
        <v>0.417666490486258</v>
      </c>
      <c r="L250" s="2">
        <v>305.1612903</v>
      </c>
      <c r="M250" s="2">
        <v>58.11</v>
      </c>
      <c r="N250" s="6">
        <v>66</v>
      </c>
      <c r="O250" s="6">
        <v>37.95</v>
      </c>
      <c r="P250" s="6">
        <v>2090.5</v>
      </c>
    </row>
    <row r="251" spans="1:16">
      <c r="A251" t="s">
        <v>28</v>
      </c>
      <c r="B251">
        <v>2012</v>
      </c>
      <c r="C251">
        <v>0.152947703849197</v>
      </c>
      <c r="D251" s="6">
        <v>52959</v>
      </c>
      <c r="E251" s="6">
        <v>6028.1</v>
      </c>
      <c r="F251" s="2">
        <v>0.521378654529065</v>
      </c>
      <c r="G251" s="2">
        <v>0.553989708132952</v>
      </c>
      <c r="H251" s="2">
        <v>0.0318502</v>
      </c>
      <c r="I251" s="6">
        <v>1622.6</v>
      </c>
      <c r="J251" s="6">
        <v>3841</v>
      </c>
      <c r="K251">
        <f t="shared" si="3"/>
        <v>0.422442072376985</v>
      </c>
      <c r="L251" s="2">
        <v>309.7580645</v>
      </c>
      <c r="M251" s="2">
        <v>59.32</v>
      </c>
      <c r="N251" s="6">
        <v>66</v>
      </c>
      <c r="O251" s="6">
        <v>48.6</v>
      </c>
      <c r="P251" s="6">
        <v>4047.8</v>
      </c>
    </row>
    <row r="252" spans="1:16">
      <c r="A252" t="s">
        <v>28</v>
      </c>
      <c r="B252">
        <v>2013</v>
      </c>
      <c r="C252">
        <v>0.162645931057864</v>
      </c>
      <c r="D252" s="6">
        <v>58255</v>
      </c>
      <c r="E252" s="6">
        <v>6437</v>
      </c>
      <c r="F252" s="2">
        <v>0.524600289728846</v>
      </c>
      <c r="G252" s="2">
        <v>0.49724935344253</v>
      </c>
      <c r="H252" s="2">
        <v>0.03183493</v>
      </c>
      <c r="I252" s="6">
        <v>1777.18</v>
      </c>
      <c r="J252" s="6">
        <v>3885</v>
      </c>
      <c r="K252">
        <f t="shared" si="3"/>
        <v>0.457446589446589</v>
      </c>
      <c r="L252" s="2">
        <v>313.3064516</v>
      </c>
      <c r="M252" s="2">
        <v>60.8</v>
      </c>
      <c r="N252" s="6">
        <v>66</v>
      </c>
      <c r="O252" s="6">
        <v>58.6</v>
      </c>
      <c r="P252" s="6">
        <v>3062.7</v>
      </c>
    </row>
    <row r="253" spans="1:16">
      <c r="A253" t="s">
        <v>28</v>
      </c>
      <c r="B253">
        <v>2014</v>
      </c>
      <c r="C253">
        <v>0.164620024880818</v>
      </c>
      <c r="D253" s="6">
        <v>63709</v>
      </c>
      <c r="E253" s="6">
        <v>7238.4</v>
      </c>
      <c r="F253" s="2">
        <v>0.52782644604905</v>
      </c>
      <c r="G253" s="2">
        <v>0.485513248683952</v>
      </c>
      <c r="H253" s="2">
        <v>0.0333555</v>
      </c>
      <c r="I253" s="6">
        <v>1873.41</v>
      </c>
      <c r="J253" s="6">
        <v>3945</v>
      </c>
      <c r="K253">
        <f t="shared" si="3"/>
        <v>0.474882129277567</v>
      </c>
      <c r="L253" s="2">
        <v>318.1451613</v>
      </c>
      <c r="M253" s="2">
        <v>61.99</v>
      </c>
      <c r="N253" s="6">
        <v>66.8</v>
      </c>
      <c r="O253" s="6">
        <v>61.8</v>
      </c>
      <c r="P253" s="6">
        <v>3218</v>
      </c>
    </row>
    <row r="254" spans="1:16">
      <c r="A254" t="s">
        <v>28</v>
      </c>
      <c r="B254">
        <v>2015</v>
      </c>
      <c r="C254">
        <v>0.180651301097166</v>
      </c>
      <c r="D254" s="6">
        <v>67649</v>
      </c>
      <c r="E254" s="6">
        <v>7961.5</v>
      </c>
      <c r="F254" s="2">
        <v>0.51215347042264</v>
      </c>
      <c r="G254" s="2">
        <v>0.44232741102556</v>
      </c>
      <c r="H254" s="2">
        <v>0.032527</v>
      </c>
      <c r="I254" s="6">
        <v>1901</v>
      </c>
      <c r="J254" s="6">
        <v>3984</v>
      </c>
      <c r="K254">
        <f t="shared" si="3"/>
        <v>0.477158634538153</v>
      </c>
      <c r="L254" s="2">
        <v>321.2903226</v>
      </c>
      <c r="M254" s="2">
        <v>63.22</v>
      </c>
      <c r="N254" s="6">
        <v>66.8</v>
      </c>
      <c r="O254" s="6">
        <v>95.57</v>
      </c>
      <c r="P254" s="6">
        <v>3468.7</v>
      </c>
    </row>
    <row r="255" spans="1:16">
      <c r="A255" t="s">
        <v>28</v>
      </c>
      <c r="B255">
        <v>2016</v>
      </c>
      <c r="C255">
        <v>0.164772388440115</v>
      </c>
      <c r="D255" s="6">
        <v>74024</v>
      </c>
      <c r="E255" s="6">
        <v>9006.8</v>
      </c>
      <c r="F255" s="2">
        <v>0.495913459914757</v>
      </c>
      <c r="G255" s="2">
        <v>0.406492532776753</v>
      </c>
      <c r="H255" s="2">
        <v>0.0329485</v>
      </c>
      <c r="I255" s="6">
        <v>2007.43</v>
      </c>
      <c r="J255" s="6">
        <v>4016</v>
      </c>
      <c r="K255">
        <f t="shared" si="3"/>
        <v>0.499858067729084</v>
      </c>
      <c r="L255" s="2">
        <v>323.8709677</v>
      </c>
      <c r="M255" s="2">
        <v>64.39</v>
      </c>
      <c r="N255" s="6">
        <v>66.8</v>
      </c>
      <c r="O255" s="6">
        <v>130.35</v>
      </c>
      <c r="P255" s="6">
        <v>5468.7</v>
      </c>
    </row>
    <row r="256" spans="1:16">
      <c r="A256" t="s">
        <v>28</v>
      </c>
      <c r="B256">
        <v>2017</v>
      </c>
      <c r="C256">
        <v>0.163084547283433</v>
      </c>
      <c r="D256" s="6">
        <v>83758</v>
      </c>
      <c r="E256" s="6">
        <v>10108.4</v>
      </c>
      <c r="F256" s="2">
        <v>0.481348840507765</v>
      </c>
      <c r="G256" s="2">
        <v>0.380883152495095</v>
      </c>
      <c r="H256" s="2">
        <v>0.03349451</v>
      </c>
      <c r="I256" s="6">
        <v>2200.67</v>
      </c>
      <c r="J256" s="6">
        <v>4065</v>
      </c>
      <c r="K256">
        <f t="shared" si="3"/>
        <v>0.541370233702337</v>
      </c>
      <c r="L256" s="2">
        <v>327.8225806</v>
      </c>
      <c r="M256" s="2">
        <v>65.78</v>
      </c>
      <c r="N256" s="6">
        <v>66.8</v>
      </c>
      <c r="O256" s="6">
        <v>120.65</v>
      </c>
      <c r="P256" s="6">
        <v>2711.9</v>
      </c>
    </row>
    <row r="257" spans="1:16">
      <c r="A257" t="s">
        <v>28</v>
      </c>
      <c r="B257">
        <v>2018</v>
      </c>
      <c r="C257">
        <v>0.16123620387504</v>
      </c>
      <c r="D257" s="6">
        <v>94719</v>
      </c>
      <c r="E257" s="6">
        <v>11297.7</v>
      </c>
      <c r="F257" s="2">
        <v>0.487176836108541</v>
      </c>
      <c r="G257" s="2">
        <v>0.339409322835623</v>
      </c>
      <c r="H257" s="2">
        <v>0.03353277</v>
      </c>
      <c r="I257" s="6">
        <v>2494.16</v>
      </c>
      <c r="J257" s="6">
        <v>4104</v>
      </c>
      <c r="K257">
        <f t="shared" si="3"/>
        <v>0.607738791423002</v>
      </c>
      <c r="L257" s="2">
        <v>330.9677419</v>
      </c>
      <c r="M257" s="2">
        <v>66.98</v>
      </c>
      <c r="N257" s="6">
        <v>66.8</v>
      </c>
      <c r="O257" s="6">
        <v>124.04</v>
      </c>
      <c r="P257" s="6">
        <v>1982.9</v>
      </c>
    </row>
    <row r="258" spans="1:16">
      <c r="A258" t="s">
        <v>28</v>
      </c>
      <c r="B258">
        <v>2019</v>
      </c>
      <c r="C258">
        <v>0.144379921984715</v>
      </c>
      <c r="D258" s="6">
        <v>102722</v>
      </c>
      <c r="E258" s="6">
        <v>12593.5</v>
      </c>
      <c r="F258" s="2">
        <v>0.474063591216871</v>
      </c>
      <c r="G258" s="2">
        <v>0.324098793666394</v>
      </c>
      <c r="H258" s="2">
        <v>0.03314318</v>
      </c>
      <c r="I258" s="6">
        <v>2577.96</v>
      </c>
      <c r="J258" s="6">
        <v>4137</v>
      </c>
      <c r="K258">
        <f t="shared" si="3"/>
        <v>0.623147208121827</v>
      </c>
      <c r="L258" s="2">
        <v>333.6290323</v>
      </c>
      <c r="M258" s="2">
        <v>67.87</v>
      </c>
      <c r="N258" s="6">
        <v>66.8</v>
      </c>
      <c r="O258" s="6">
        <v>179.55</v>
      </c>
      <c r="P258" s="6">
        <v>3446.8</v>
      </c>
    </row>
    <row r="259" spans="1:16">
      <c r="A259" t="s">
        <v>28</v>
      </c>
      <c r="B259">
        <v>2020</v>
      </c>
      <c r="C259">
        <v>0.145149860753984</v>
      </c>
      <c r="D259" s="6">
        <v>105106</v>
      </c>
      <c r="E259" s="6">
        <v>14001.5</v>
      </c>
      <c r="F259" s="2">
        <v>0.462486757199268</v>
      </c>
      <c r="G259" s="2">
        <v>0.318863481056489</v>
      </c>
      <c r="H259" s="2">
        <v>0.03305818</v>
      </c>
      <c r="I259" s="6">
        <v>2651.05</v>
      </c>
      <c r="J259" s="6">
        <v>4161</v>
      </c>
      <c r="K259">
        <f t="shared" ref="K259:K322" si="4">I259/J259</f>
        <v>0.637118481134343</v>
      </c>
      <c r="L259" s="2">
        <v>335.6</v>
      </c>
      <c r="M259" s="2">
        <v>68.75</v>
      </c>
      <c r="N259" s="6">
        <v>66.8</v>
      </c>
      <c r="O259" s="6">
        <v>156.42</v>
      </c>
      <c r="P259" s="6">
        <v>1832.5</v>
      </c>
    </row>
    <row r="260" spans="1:16">
      <c r="A260" t="s">
        <v>28</v>
      </c>
      <c r="B260">
        <v>2021</v>
      </c>
      <c r="C260">
        <v>0.12587573986143</v>
      </c>
      <c r="D260" s="6">
        <v>118750</v>
      </c>
      <c r="E260" s="6">
        <v>15527.7</v>
      </c>
      <c r="F260" s="2">
        <v>0.470478815157941</v>
      </c>
      <c r="G260" s="2">
        <v>0.3058039668241</v>
      </c>
      <c r="H260" s="2">
        <v>0.03412768</v>
      </c>
      <c r="I260" s="6">
        <v>2950.8</v>
      </c>
      <c r="J260" s="6">
        <v>4187</v>
      </c>
      <c r="K260">
        <f t="shared" si="4"/>
        <v>0.704752806305231</v>
      </c>
      <c r="L260" s="2">
        <v>337.6612903</v>
      </c>
      <c r="M260" s="2">
        <v>69.7</v>
      </c>
      <c r="N260" s="6">
        <v>66.8</v>
      </c>
      <c r="O260" s="6">
        <v>139.97</v>
      </c>
      <c r="P260" s="6">
        <v>1817.7</v>
      </c>
    </row>
    <row r="261" spans="1:16">
      <c r="A261" t="s">
        <v>28</v>
      </c>
      <c r="B261">
        <v>2022</v>
      </c>
      <c r="C261">
        <v>0.122996409224409</v>
      </c>
      <c r="D261" s="6">
        <v>123618</v>
      </c>
      <c r="E261" s="6">
        <v>17177.7</v>
      </c>
      <c r="F261" s="2">
        <v>0.472194449622387</v>
      </c>
      <c r="G261" s="2">
        <v>0.297198159960689</v>
      </c>
      <c r="H261" s="2">
        <v>0.05126983</v>
      </c>
      <c r="I261" s="6">
        <v>3126.66</v>
      </c>
      <c r="J261" s="6">
        <v>4188</v>
      </c>
      <c r="K261">
        <f t="shared" si="4"/>
        <v>0.746575931232092</v>
      </c>
      <c r="L261" s="2">
        <v>337.7419355</v>
      </c>
      <c r="M261" s="2">
        <v>50.358</v>
      </c>
      <c r="N261" s="6">
        <v>66.8</v>
      </c>
      <c r="O261" s="6">
        <v>122.62</v>
      </c>
      <c r="P261" s="6">
        <v>2805.3</v>
      </c>
    </row>
    <row r="262" spans="1:16">
      <c r="A262" t="s">
        <v>29</v>
      </c>
      <c r="B262">
        <v>2003</v>
      </c>
      <c r="C262">
        <v>0.39421257361392</v>
      </c>
      <c r="D262" s="6">
        <v>6636</v>
      </c>
      <c r="E262" s="6">
        <v>1171.3</v>
      </c>
      <c r="F262" s="2">
        <v>0.428165108258968</v>
      </c>
      <c r="G262" s="2">
        <v>1.21804671667793</v>
      </c>
      <c r="H262" s="2">
        <v>0.0158613</v>
      </c>
      <c r="I262" s="6">
        <v>320.94</v>
      </c>
      <c r="J262" s="6">
        <v>4254</v>
      </c>
      <c r="K262">
        <f t="shared" si="4"/>
        <v>0.075444287729196</v>
      </c>
      <c r="L262" s="2">
        <v>254.8831636</v>
      </c>
      <c r="M262" s="2">
        <v>34.02</v>
      </c>
      <c r="N262" s="6">
        <v>58.3</v>
      </c>
      <c r="O262" s="6">
        <v>4.83</v>
      </c>
      <c r="P262" s="6">
        <v>3566.6</v>
      </c>
    </row>
    <row r="263" spans="1:16">
      <c r="A263" t="s">
        <v>29</v>
      </c>
      <c r="B263">
        <v>2004</v>
      </c>
      <c r="C263">
        <v>0.347984648910949</v>
      </c>
      <c r="D263" s="6">
        <v>7960</v>
      </c>
      <c r="E263" s="6">
        <v>1431.4</v>
      </c>
      <c r="F263" s="2">
        <v>0.442953415143757</v>
      </c>
      <c r="G263" s="2">
        <v>1.12239192489921</v>
      </c>
      <c r="H263" s="2">
        <v>0.01542547</v>
      </c>
      <c r="I263" s="6">
        <v>378.98</v>
      </c>
      <c r="J263" s="6">
        <v>4284</v>
      </c>
      <c r="K263">
        <f t="shared" si="4"/>
        <v>0.0884640522875817</v>
      </c>
      <c r="L263" s="2">
        <v>256.6806471</v>
      </c>
      <c r="M263" s="2">
        <v>35.58</v>
      </c>
      <c r="N263" s="6">
        <v>58.3</v>
      </c>
      <c r="O263" s="6">
        <v>6.22</v>
      </c>
      <c r="P263" s="6">
        <v>2415.1</v>
      </c>
    </row>
    <row r="264" spans="1:16">
      <c r="A264" t="s">
        <v>29</v>
      </c>
      <c r="B264">
        <v>2005</v>
      </c>
      <c r="C264">
        <v>0.346774782399742</v>
      </c>
      <c r="D264" s="6">
        <v>9172</v>
      </c>
      <c r="E264" s="6">
        <v>1642.2</v>
      </c>
      <c r="F264" s="2">
        <v>0.465518116309753</v>
      </c>
      <c r="G264" s="2">
        <v>1.08748604485943</v>
      </c>
      <c r="H264" s="2">
        <v>0.01583301</v>
      </c>
      <c r="I264" s="6">
        <v>373.49</v>
      </c>
      <c r="J264" s="6">
        <v>4311</v>
      </c>
      <c r="K264">
        <f t="shared" si="4"/>
        <v>0.08663651125029</v>
      </c>
      <c r="L264" s="2">
        <v>258.3127621</v>
      </c>
      <c r="M264" s="2">
        <v>37</v>
      </c>
      <c r="N264" s="6">
        <v>58.3</v>
      </c>
      <c r="O264" s="6">
        <v>8.07</v>
      </c>
      <c r="P264" s="6">
        <v>3513.2</v>
      </c>
    </row>
    <row r="265" spans="1:16">
      <c r="A265" t="s">
        <v>29</v>
      </c>
      <c r="B265">
        <v>2006</v>
      </c>
      <c r="C265">
        <v>0.36028539500987</v>
      </c>
      <c r="D265" s="6">
        <v>10859</v>
      </c>
      <c r="E265" s="6">
        <v>1780.5</v>
      </c>
      <c r="F265" s="2">
        <v>0.497700562084824</v>
      </c>
      <c r="G265" s="2">
        <v>0.992273462783172</v>
      </c>
      <c r="H265" s="2">
        <v>0.0157362</v>
      </c>
      <c r="I265" s="6">
        <v>439.9</v>
      </c>
      <c r="J265" s="6">
        <v>4339</v>
      </c>
      <c r="K265">
        <f t="shared" si="4"/>
        <v>0.10138280709841</v>
      </c>
      <c r="L265" s="2">
        <v>259.9838226</v>
      </c>
      <c r="M265" s="2">
        <v>38.68</v>
      </c>
      <c r="N265" s="6">
        <v>58.3</v>
      </c>
      <c r="O265" s="6">
        <v>10.54</v>
      </c>
      <c r="P265" s="6">
        <v>3768.7</v>
      </c>
    </row>
    <row r="266" spans="1:16">
      <c r="A266" t="s">
        <v>29</v>
      </c>
      <c r="B266">
        <v>2007</v>
      </c>
      <c r="C266">
        <v>0.313107522475762</v>
      </c>
      <c r="D266" s="6">
        <v>13270</v>
      </c>
      <c r="E266" s="6">
        <v>2036</v>
      </c>
      <c r="F266" s="2">
        <v>0.510644558294101</v>
      </c>
      <c r="G266" s="2">
        <v>0.874716145112157</v>
      </c>
      <c r="H266" s="2">
        <v>0.01570136</v>
      </c>
      <c r="I266" s="6">
        <v>502.01</v>
      </c>
      <c r="J266" s="6">
        <v>4368</v>
      </c>
      <c r="K266">
        <f t="shared" si="4"/>
        <v>0.114929029304029</v>
      </c>
      <c r="L266" s="2">
        <v>261.7381666</v>
      </c>
      <c r="M266" s="2">
        <v>39.8</v>
      </c>
      <c r="N266" s="6">
        <v>58.3</v>
      </c>
      <c r="O266" s="6">
        <v>13.88</v>
      </c>
      <c r="P266" s="6">
        <v>2556.5</v>
      </c>
    </row>
    <row r="267" spans="1:16">
      <c r="A267" t="s">
        <v>29</v>
      </c>
      <c r="B267">
        <v>2008</v>
      </c>
      <c r="C267">
        <v>0.288517711583328</v>
      </c>
      <c r="D267" s="6">
        <v>15816</v>
      </c>
      <c r="E267" s="6">
        <v>2545.1</v>
      </c>
      <c r="F267" s="2">
        <v>0.507455798794382</v>
      </c>
      <c r="G267" s="2">
        <v>0.776297193620028</v>
      </c>
      <c r="H267" s="2">
        <v>0.01589179</v>
      </c>
      <c r="I267" s="6">
        <v>576.14</v>
      </c>
      <c r="J267" s="6">
        <v>4400</v>
      </c>
      <c r="K267">
        <f t="shared" si="4"/>
        <v>0.130940909090909</v>
      </c>
      <c r="L267" s="2">
        <v>263.6369083</v>
      </c>
      <c r="M267" s="2">
        <v>41.36</v>
      </c>
      <c r="N267" s="6">
        <v>58.3</v>
      </c>
      <c r="O267" s="6">
        <v>31.84</v>
      </c>
      <c r="P267" s="6">
        <v>3093.5</v>
      </c>
    </row>
    <row r="268" spans="1:16">
      <c r="A268" t="s">
        <v>29</v>
      </c>
      <c r="B268">
        <v>2009</v>
      </c>
      <c r="C268">
        <v>0.276089923720488</v>
      </c>
      <c r="D268" s="6">
        <v>17277</v>
      </c>
      <c r="E268" s="6">
        <v>2743.3</v>
      </c>
      <c r="F268" s="2">
        <v>0.508872870249017</v>
      </c>
      <c r="G268" s="2">
        <v>0.761861074705111</v>
      </c>
      <c r="H268" s="2">
        <v>0.01664766</v>
      </c>
      <c r="I268" s="6">
        <v>532.91</v>
      </c>
      <c r="J268" s="6">
        <v>4432</v>
      </c>
      <c r="K268">
        <f t="shared" si="4"/>
        <v>0.12024142599278</v>
      </c>
      <c r="L268" s="2">
        <v>265.5578191</v>
      </c>
      <c r="M268" s="2">
        <v>43.18</v>
      </c>
      <c r="N268" s="6">
        <v>60</v>
      </c>
      <c r="O268" s="6">
        <v>43.14</v>
      </c>
      <c r="P268" s="6">
        <v>2642.5</v>
      </c>
    </row>
    <row r="269" spans="1:16">
      <c r="A269" t="s">
        <v>29</v>
      </c>
      <c r="B269">
        <v>2010</v>
      </c>
      <c r="C269">
        <v>0.275041478319428</v>
      </c>
      <c r="D269" s="6">
        <v>21099</v>
      </c>
      <c r="E269" s="6">
        <v>3552.9</v>
      </c>
      <c r="F269" s="2">
        <v>0.541723505840225</v>
      </c>
      <c r="G269" s="2">
        <v>0.677261488617955</v>
      </c>
      <c r="H269" s="2">
        <v>0.01667929</v>
      </c>
      <c r="I269" s="6">
        <v>664.45</v>
      </c>
      <c r="J269" s="6">
        <v>4462</v>
      </c>
      <c r="K269">
        <f t="shared" si="4"/>
        <v>0.148913043478261</v>
      </c>
      <c r="L269" s="2">
        <v>267.360695</v>
      </c>
      <c r="M269" s="2">
        <v>44.06</v>
      </c>
      <c r="N269" s="6">
        <v>60</v>
      </c>
      <c r="O269" s="6">
        <v>49.14</v>
      </c>
      <c r="P269" s="6">
        <v>5116.7</v>
      </c>
    </row>
    <row r="270" spans="1:16">
      <c r="A270" t="s">
        <v>29</v>
      </c>
      <c r="B270">
        <v>2011</v>
      </c>
      <c r="C270">
        <v>0.236022980759721</v>
      </c>
      <c r="D270" s="6">
        <v>25928</v>
      </c>
      <c r="E270" s="6">
        <v>4261.7</v>
      </c>
      <c r="F270" s="2">
        <v>0.547110362985023</v>
      </c>
      <c r="G270" s="2">
        <v>0.598040485130994</v>
      </c>
      <c r="H270" s="2">
        <v>0.0177582</v>
      </c>
      <c r="I270" s="6">
        <v>729.92</v>
      </c>
      <c r="J270" s="6">
        <v>4474</v>
      </c>
      <c r="K270">
        <f t="shared" si="4"/>
        <v>0.16314707197139</v>
      </c>
      <c r="L270" s="2">
        <v>268.0647094</v>
      </c>
      <c r="M270" s="2">
        <v>45.75</v>
      </c>
      <c r="N270" s="6">
        <v>60</v>
      </c>
      <c r="O270" s="6">
        <v>43.76</v>
      </c>
      <c r="P270" s="6">
        <v>2319.1</v>
      </c>
    </row>
    <row r="271" spans="1:16">
      <c r="A271" t="s">
        <v>29</v>
      </c>
      <c r="B271">
        <v>2012</v>
      </c>
      <c r="C271">
        <v>0.227789436092462</v>
      </c>
      <c r="D271" s="6">
        <v>28624</v>
      </c>
      <c r="E271" s="6">
        <v>4753.8</v>
      </c>
      <c r="F271" s="2">
        <v>0.538215292363188</v>
      </c>
      <c r="G271" s="2">
        <v>0.564732153314022</v>
      </c>
      <c r="H271" s="2">
        <v>0.01749639</v>
      </c>
      <c r="I271" s="6">
        <v>664.7</v>
      </c>
      <c r="J271" s="6">
        <v>4475</v>
      </c>
      <c r="K271">
        <f t="shared" si="4"/>
        <v>0.148536312849162</v>
      </c>
      <c r="L271" s="2">
        <v>268.1246255</v>
      </c>
      <c r="M271" s="2">
        <v>47.39</v>
      </c>
      <c r="N271" s="6">
        <v>60</v>
      </c>
      <c r="O271" s="6">
        <v>66.91</v>
      </c>
      <c r="P271" s="6">
        <v>4836</v>
      </c>
    </row>
    <row r="272" spans="1:16">
      <c r="A272" t="s">
        <v>29</v>
      </c>
      <c r="B272">
        <v>2013</v>
      </c>
      <c r="C272">
        <v>0.223953138078921</v>
      </c>
      <c r="D272" s="6">
        <v>31952</v>
      </c>
      <c r="E272" s="6">
        <v>5375.2</v>
      </c>
      <c r="F272" s="2">
        <v>0.535789709234836</v>
      </c>
      <c r="G272" s="2">
        <v>0.530272303883862</v>
      </c>
      <c r="H272" s="2">
        <v>0.01772838</v>
      </c>
      <c r="I272" s="6">
        <v>875.41</v>
      </c>
      <c r="J272" s="6">
        <v>4476</v>
      </c>
      <c r="K272">
        <f t="shared" si="4"/>
        <v>0.195578641644325</v>
      </c>
      <c r="L272" s="2">
        <v>268.1845416</v>
      </c>
      <c r="M272" s="2">
        <v>49.04</v>
      </c>
      <c r="N272" s="6">
        <v>60</v>
      </c>
      <c r="O272" s="6">
        <v>74.17</v>
      </c>
      <c r="P272" s="6">
        <v>3155.3</v>
      </c>
    </row>
    <row r="273" spans="1:16">
      <c r="A273" t="s">
        <v>29</v>
      </c>
      <c r="B273">
        <v>2014</v>
      </c>
      <c r="C273">
        <v>0.221584268275415</v>
      </c>
      <c r="D273" s="6">
        <v>34988</v>
      </c>
      <c r="E273" s="6">
        <v>5415.6</v>
      </c>
      <c r="F273" s="2">
        <v>0.525836428854083</v>
      </c>
      <c r="G273" s="2">
        <v>0.514134722169035</v>
      </c>
      <c r="H273" s="2">
        <v>0.01830662</v>
      </c>
      <c r="I273" s="6">
        <v>873.33</v>
      </c>
      <c r="J273" s="6">
        <v>4480</v>
      </c>
      <c r="K273">
        <f t="shared" si="4"/>
        <v>0.194939732142857</v>
      </c>
      <c r="L273" s="2">
        <v>268.4242061</v>
      </c>
      <c r="M273" s="2">
        <v>50.55</v>
      </c>
      <c r="N273" s="6">
        <v>61.2</v>
      </c>
      <c r="O273" s="6">
        <v>68.13</v>
      </c>
      <c r="P273" s="6">
        <v>3600.6</v>
      </c>
    </row>
    <row r="274" spans="1:16">
      <c r="A274" t="s">
        <v>29</v>
      </c>
      <c r="B274">
        <v>2015</v>
      </c>
      <c r="C274">
        <v>0.218973706665988</v>
      </c>
      <c r="D274" s="6">
        <v>37436</v>
      </c>
      <c r="E274" s="6">
        <v>6598.1</v>
      </c>
      <c r="F274" s="2">
        <v>0.498644292022478</v>
      </c>
      <c r="G274" s="2">
        <v>0.501939705260147</v>
      </c>
      <c r="H274" s="2">
        <v>0.01909719</v>
      </c>
      <c r="I274" s="6">
        <v>982</v>
      </c>
      <c r="J274" s="6">
        <v>4485</v>
      </c>
      <c r="K274">
        <f t="shared" si="4"/>
        <v>0.218952062430323</v>
      </c>
      <c r="L274" s="2">
        <v>268.7237867</v>
      </c>
      <c r="M274" s="2">
        <v>52.3</v>
      </c>
      <c r="N274" s="6">
        <v>61.2</v>
      </c>
      <c r="O274" s="6">
        <v>87.43</v>
      </c>
      <c r="P274" s="6">
        <v>4394.5</v>
      </c>
    </row>
    <row r="275" spans="1:16">
      <c r="A275" t="s">
        <v>29</v>
      </c>
      <c r="B275">
        <v>2016</v>
      </c>
      <c r="C275">
        <v>0.213031329628615</v>
      </c>
      <c r="D275" s="6">
        <v>40950</v>
      </c>
      <c r="E275" s="6">
        <v>7344.9</v>
      </c>
      <c r="F275" s="2">
        <v>0.474886614532917</v>
      </c>
      <c r="G275" s="2">
        <v>0.474750660735456</v>
      </c>
      <c r="H275" s="2">
        <v>0.01979178</v>
      </c>
      <c r="I275" s="6">
        <v>1085.35</v>
      </c>
      <c r="J275" s="6">
        <v>4496</v>
      </c>
      <c r="K275">
        <f t="shared" si="4"/>
        <v>0.24140346975089</v>
      </c>
      <c r="L275" s="2">
        <v>269.382864</v>
      </c>
      <c r="M275" s="2">
        <v>53.99</v>
      </c>
      <c r="N275" s="6">
        <v>61.2</v>
      </c>
      <c r="O275" s="6">
        <v>117.88</v>
      </c>
      <c r="P275" s="6">
        <v>4850.6</v>
      </c>
    </row>
    <row r="276" spans="1:16">
      <c r="A276" t="s">
        <v>29</v>
      </c>
      <c r="B276">
        <v>2017</v>
      </c>
      <c r="C276">
        <v>0.199602936693408</v>
      </c>
      <c r="D276" s="6">
        <v>44878</v>
      </c>
      <c r="E276" s="6">
        <v>7965.7</v>
      </c>
      <c r="F276" s="2">
        <v>0.467304609416748</v>
      </c>
      <c r="G276" s="2">
        <v>0.443921071902151</v>
      </c>
      <c r="H276" s="2">
        <v>0.02051447</v>
      </c>
      <c r="I276" s="6">
        <v>1128.82</v>
      </c>
      <c r="J276" s="6">
        <v>4511</v>
      </c>
      <c r="K276">
        <f t="shared" si="4"/>
        <v>0.250237197960541</v>
      </c>
      <c r="L276" s="2">
        <v>270.2816058</v>
      </c>
      <c r="M276" s="2">
        <v>55.7</v>
      </c>
      <c r="N276" s="6">
        <v>61.2</v>
      </c>
      <c r="O276" s="6">
        <v>143.4</v>
      </c>
      <c r="P276" s="6">
        <v>3592.5</v>
      </c>
    </row>
    <row r="277" spans="1:16">
      <c r="A277" t="s">
        <v>29</v>
      </c>
      <c r="B277">
        <v>2018</v>
      </c>
      <c r="C277">
        <v>0.194083457843157</v>
      </c>
      <c r="D277" s="6">
        <v>50347</v>
      </c>
      <c r="E277" s="6">
        <v>8800.2</v>
      </c>
      <c r="F277" s="2">
        <v>0.443783153214624</v>
      </c>
      <c r="G277" s="2">
        <v>0.408777760658552</v>
      </c>
      <c r="H277" s="2">
        <v>0.02070622</v>
      </c>
      <c r="I277" s="6">
        <v>1281.29</v>
      </c>
      <c r="J277" s="6">
        <v>4513</v>
      </c>
      <c r="K277">
        <f t="shared" si="4"/>
        <v>0.283910923997341</v>
      </c>
      <c r="L277" s="2">
        <v>270.401438</v>
      </c>
      <c r="M277" s="2">
        <v>57.34</v>
      </c>
      <c r="N277" s="6">
        <v>61.2</v>
      </c>
      <c r="O277" s="6">
        <v>162.55</v>
      </c>
      <c r="P277" s="6">
        <v>2479.2</v>
      </c>
    </row>
    <row r="278" spans="1:16">
      <c r="A278" t="s">
        <v>29</v>
      </c>
      <c r="B278">
        <v>2019</v>
      </c>
      <c r="C278">
        <v>0.184536304970408</v>
      </c>
      <c r="D278" s="6">
        <v>54640</v>
      </c>
      <c r="E278" s="6">
        <v>9699.1</v>
      </c>
      <c r="F278" s="2">
        <v>0.438649548187276</v>
      </c>
      <c r="G278" s="2">
        <v>0.391814264228351</v>
      </c>
      <c r="H278" s="2">
        <v>0.02118688</v>
      </c>
      <c r="I278" s="6">
        <v>1375.9</v>
      </c>
      <c r="J278" s="6">
        <v>4516</v>
      </c>
      <c r="K278">
        <f t="shared" si="4"/>
        <v>0.304672276350753</v>
      </c>
      <c r="L278" s="2">
        <v>270.5811863</v>
      </c>
      <c r="M278" s="2">
        <v>59.07</v>
      </c>
      <c r="N278" s="6">
        <v>61.2</v>
      </c>
      <c r="O278" s="6">
        <v>194.28</v>
      </c>
      <c r="P278" s="6">
        <v>4405.4</v>
      </c>
    </row>
    <row r="279" spans="1:16">
      <c r="A279" t="s">
        <v>29</v>
      </c>
      <c r="B279">
        <v>2020</v>
      </c>
      <c r="C279">
        <v>0.184246051952444</v>
      </c>
      <c r="D279" s="6">
        <v>57065</v>
      </c>
      <c r="E279" s="6">
        <v>10665.1</v>
      </c>
      <c r="F279" s="2">
        <v>0.430839345279652</v>
      </c>
      <c r="G279" s="2">
        <v>0.380443720425103</v>
      </c>
      <c r="H279" s="2">
        <v>0.02166156</v>
      </c>
      <c r="I279" s="6">
        <v>1444.71</v>
      </c>
      <c r="J279" s="6">
        <v>4519</v>
      </c>
      <c r="K279">
        <f t="shared" si="4"/>
        <v>0.319696835583094</v>
      </c>
      <c r="L279" s="2">
        <v>270.7878969</v>
      </c>
      <c r="M279" s="2">
        <v>60.44</v>
      </c>
      <c r="N279" s="6">
        <v>61.2</v>
      </c>
      <c r="O279" s="6">
        <v>218.27</v>
      </c>
      <c r="P279" s="6">
        <v>3731.3</v>
      </c>
    </row>
    <row r="280" spans="1:16">
      <c r="A280" t="s">
        <v>29</v>
      </c>
      <c r="B280">
        <v>2021</v>
      </c>
      <c r="C280">
        <v>0.174534377313849</v>
      </c>
      <c r="D280" s="6">
        <v>66020</v>
      </c>
      <c r="E280" s="6">
        <v>11700.9</v>
      </c>
      <c r="F280" s="2">
        <v>0.443569421814549</v>
      </c>
      <c r="G280" s="2">
        <v>0.352616686446872</v>
      </c>
      <c r="H280" s="2">
        <v>0.02241095</v>
      </c>
      <c r="I280" s="6">
        <v>1563.27</v>
      </c>
      <c r="J280" s="6">
        <v>4517</v>
      </c>
      <c r="K280">
        <f t="shared" si="4"/>
        <v>0.346085897719725</v>
      </c>
      <c r="L280" s="2">
        <v>270.6650689</v>
      </c>
      <c r="M280" s="2">
        <v>61.46</v>
      </c>
      <c r="N280" s="6">
        <v>61.2</v>
      </c>
      <c r="O280" s="6">
        <v>229.59</v>
      </c>
      <c r="P280" s="6">
        <v>3142.3</v>
      </c>
    </row>
    <row r="281" spans="1:16">
      <c r="A281" t="s">
        <v>29</v>
      </c>
      <c r="B281">
        <v>2022</v>
      </c>
      <c r="C281">
        <v>0.171281630942352</v>
      </c>
      <c r="D281" s="6">
        <v>69019</v>
      </c>
      <c r="E281" s="6">
        <v>12809</v>
      </c>
      <c r="F281" s="2">
        <v>0.447692418011704</v>
      </c>
      <c r="G281" s="2">
        <v>0.336267837267379</v>
      </c>
      <c r="H281" s="2">
        <v>0.03147056</v>
      </c>
      <c r="I281" s="6">
        <v>1707.94</v>
      </c>
      <c r="J281" s="6">
        <v>4528</v>
      </c>
      <c r="K281">
        <f t="shared" si="4"/>
        <v>0.377195229681979</v>
      </c>
      <c r="L281" s="2">
        <v>271.2989814</v>
      </c>
      <c r="M281" s="2">
        <v>47.628</v>
      </c>
      <c r="N281" s="6">
        <v>61.2</v>
      </c>
      <c r="O281" s="6">
        <v>237.63</v>
      </c>
      <c r="P281" s="6">
        <v>3441</v>
      </c>
    </row>
    <row r="282" spans="1:16">
      <c r="A282" t="s">
        <v>30</v>
      </c>
      <c r="B282">
        <v>2003</v>
      </c>
      <c r="C282">
        <v>0.446336525464769</v>
      </c>
      <c r="D282" s="6">
        <v>11977</v>
      </c>
      <c r="E282" s="6">
        <v>3960.9</v>
      </c>
      <c r="F282" s="2">
        <v>0.524616626311541</v>
      </c>
      <c r="G282" s="2">
        <v>1.524763372221</v>
      </c>
      <c r="H282" s="2">
        <v>0.0739089</v>
      </c>
      <c r="I282" s="6">
        <v>1396.97</v>
      </c>
      <c r="J282" s="6">
        <v>9125</v>
      </c>
      <c r="K282">
        <f t="shared" si="4"/>
        <v>0.153092602739726</v>
      </c>
      <c r="L282" s="2">
        <v>577.1663504</v>
      </c>
      <c r="M282" s="2">
        <v>31.05</v>
      </c>
      <c r="N282" s="6">
        <v>16.7</v>
      </c>
      <c r="O282" s="6">
        <v>11.96</v>
      </c>
      <c r="P282" s="6">
        <v>325.4</v>
      </c>
    </row>
    <row r="283" spans="1:16">
      <c r="A283" t="s">
        <v>30</v>
      </c>
      <c r="B283">
        <v>2004</v>
      </c>
      <c r="C283">
        <v>0.411016551602322</v>
      </c>
      <c r="D283" s="6">
        <v>14540</v>
      </c>
      <c r="E283" s="6">
        <v>4506.5</v>
      </c>
      <c r="F283" s="2">
        <v>0.550612033272969</v>
      </c>
      <c r="G283" s="2">
        <v>1.47456812016742</v>
      </c>
      <c r="H283" s="2">
        <v>0.07538952</v>
      </c>
      <c r="I283" s="6">
        <v>1688.19</v>
      </c>
      <c r="J283" s="6">
        <v>9180</v>
      </c>
      <c r="K283">
        <f t="shared" si="4"/>
        <v>0.183898692810458</v>
      </c>
      <c r="L283" s="2">
        <v>580.6451613</v>
      </c>
      <c r="M283" s="2">
        <v>32.15</v>
      </c>
      <c r="N283" s="6">
        <v>16.7</v>
      </c>
      <c r="O283" s="6">
        <v>15.15</v>
      </c>
      <c r="P283" s="6">
        <v>380.7</v>
      </c>
    </row>
    <row r="284" spans="1:16">
      <c r="A284" t="s">
        <v>30</v>
      </c>
      <c r="B284">
        <v>2005</v>
      </c>
      <c r="C284">
        <v>0.404125265787684</v>
      </c>
      <c r="D284" s="6">
        <v>17308</v>
      </c>
      <c r="E284" s="6">
        <v>5451.2</v>
      </c>
      <c r="F284" s="2">
        <v>0.554387835083869</v>
      </c>
      <c r="G284" s="2">
        <v>1.4804702931494</v>
      </c>
      <c r="H284" s="2">
        <v>0.07721371</v>
      </c>
      <c r="I284" s="6">
        <v>1911.39</v>
      </c>
      <c r="J284" s="6">
        <v>9248</v>
      </c>
      <c r="K284">
        <f t="shared" si="4"/>
        <v>0.206681444636678</v>
      </c>
      <c r="L284" s="2">
        <v>584.9576218</v>
      </c>
      <c r="M284" s="2">
        <v>45</v>
      </c>
      <c r="N284" s="6">
        <v>16.7</v>
      </c>
      <c r="O284" s="6">
        <v>19.49</v>
      </c>
      <c r="P284" s="6">
        <v>451</v>
      </c>
    </row>
    <row r="285" spans="1:16">
      <c r="A285" t="s">
        <v>30</v>
      </c>
      <c r="B285">
        <v>2006</v>
      </c>
      <c r="C285">
        <v>0.301481527008878</v>
      </c>
      <c r="D285" s="6">
        <v>20443</v>
      </c>
      <c r="E285" s="6">
        <v>6553.9</v>
      </c>
      <c r="F285" s="2">
        <v>0.55718111747277</v>
      </c>
      <c r="G285" s="2">
        <v>1.37940667868704</v>
      </c>
      <c r="H285" s="2">
        <v>0.08013007</v>
      </c>
      <c r="I285" s="6">
        <v>2314.53</v>
      </c>
      <c r="J285" s="6">
        <v>9309</v>
      </c>
      <c r="K285">
        <f t="shared" si="4"/>
        <v>0.248633580406059</v>
      </c>
      <c r="L285" s="2">
        <v>588.7988615</v>
      </c>
      <c r="M285" s="2">
        <v>46.1</v>
      </c>
      <c r="N285" s="6">
        <v>16.7</v>
      </c>
      <c r="O285" s="6">
        <v>25.49</v>
      </c>
      <c r="P285" s="6">
        <v>214.8</v>
      </c>
    </row>
    <row r="286" spans="1:16">
      <c r="A286" t="s">
        <v>30</v>
      </c>
      <c r="B286">
        <v>2007</v>
      </c>
      <c r="C286">
        <v>0.268951829109791</v>
      </c>
      <c r="D286" s="6">
        <v>24329</v>
      </c>
      <c r="E286" s="6">
        <v>7603.4</v>
      </c>
      <c r="F286" s="2">
        <v>0.551516191935065</v>
      </c>
      <c r="G286" s="2">
        <v>1.25690088519727</v>
      </c>
      <c r="H286" s="2">
        <v>0.0797543</v>
      </c>
      <c r="I286" s="6">
        <v>2698.03</v>
      </c>
      <c r="J286" s="6">
        <v>9367</v>
      </c>
      <c r="K286">
        <f t="shared" si="4"/>
        <v>0.288035657094054</v>
      </c>
      <c r="L286" s="2">
        <v>592.4712207</v>
      </c>
      <c r="M286" s="2">
        <v>46.75</v>
      </c>
      <c r="N286" s="6">
        <v>16.7</v>
      </c>
      <c r="O286" s="6">
        <v>33.94</v>
      </c>
      <c r="P286" s="6">
        <v>414.6</v>
      </c>
    </row>
    <row r="287" spans="1:16">
      <c r="A287" t="s">
        <v>30</v>
      </c>
      <c r="B287">
        <v>2008</v>
      </c>
      <c r="C287">
        <v>0.255763111775757</v>
      </c>
      <c r="D287" s="6">
        <v>28861</v>
      </c>
      <c r="E287" s="6">
        <v>9085.2</v>
      </c>
      <c r="F287" s="2">
        <v>0.550113996059942</v>
      </c>
      <c r="G287" s="2">
        <v>1.1277862629214</v>
      </c>
      <c r="H287" s="2">
        <v>0.07938777</v>
      </c>
      <c r="I287" s="6">
        <v>2647.5</v>
      </c>
      <c r="J287" s="6">
        <v>9417</v>
      </c>
      <c r="K287">
        <f t="shared" si="4"/>
        <v>0.281140490602103</v>
      </c>
      <c r="L287" s="2">
        <v>595.6502214</v>
      </c>
      <c r="M287" s="2">
        <v>47.6</v>
      </c>
      <c r="N287" s="6">
        <v>16.7</v>
      </c>
      <c r="O287" s="6">
        <v>58.6</v>
      </c>
      <c r="P287" s="6">
        <v>350</v>
      </c>
    </row>
    <row r="288" spans="1:16">
      <c r="A288" t="s">
        <v>30</v>
      </c>
      <c r="B288">
        <v>2009</v>
      </c>
      <c r="C288">
        <v>0.245591481736024</v>
      </c>
      <c r="D288" s="6">
        <v>31282</v>
      </c>
      <c r="E288" s="6">
        <v>9910.2</v>
      </c>
      <c r="F288" s="2">
        <v>0.538905513730163</v>
      </c>
      <c r="G288" s="2">
        <v>1.09746520067161</v>
      </c>
      <c r="H288" s="2">
        <v>0.08036767</v>
      </c>
      <c r="I288" s="6">
        <v>2859.9</v>
      </c>
      <c r="J288" s="6">
        <v>9470</v>
      </c>
      <c r="K288">
        <f t="shared" si="4"/>
        <v>0.301995776135164</v>
      </c>
      <c r="L288" s="2">
        <v>599.0075901</v>
      </c>
      <c r="M288" s="2">
        <v>48.32</v>
      </c>
      <c r="N288" s="6">
        <v>16.7</v>
      </c>
      <c r="O288" s="6">
        <v>76.17</v>
      </c>
      <c r="P288" s="6">
        <v>301.7</v>
      </c>
    </row>
    <row r="289" spans="1:16">
      <c r="A289" t="s">
        <v>30</v>
      </c>
      <c r="B289">
        <v>2010</v>
      </c>
      <c r="C289">
        <v>0.225781256829121</v>
      </c>
      <c r="D289" s="6">
        <v>35599</v>
      </c>
      <c r="E289" s="6">
        <v>11059</v>
      </c>
      <c r="F289" s="2">
        <v>0.522753334807281</v>
      </c>
      <c r="G289" s="2">
        <v>1.0260968383816</v>
      </c>
      <c r="H289" s="2">
        <v>0.07853701</v>
      </c>
      <c r="I289" s="6">
        <v>3042.73</v>
      </c>
      <c r="J289" s="6">
        <v>9588</v>
      </c>
      <c r="K289">
        <f t="shared" si="4"/>
        <v>0.317347726324572</v>
      </c>
      <c r="L289" s="2">
        <v>606.4427577</v>
      </c>
      <c r="M289" s="2">
        <v>49.7</v>
      </c>
      <c r="N289" s="6">
        <v>16.7</v>
      </c>
      <c r="O289" s="6">
        <v>112.93</v>
      </c>
      <c r="P289" s="6">
        <v>324.4</v>
      </c>
    </row>
    <row r="290" spans="1:16">
      <c r="A290" t="s">
        <v>30</v>
      </c>
      <c r="B290">
        <v>2011</v>
      </c>
      <c r="C290">
        <v>0.226833295505834</v>
      </c>
      <c r="D290" s="6">
        <v>40581</v>
      </c>
      <c r="E290" s="6">
        <v>13000</v>
      </c>
      <c r="F290" s="2">
        <v>0.510076820880125</v>
      </c>
      <c r="G290" s="2">
        <v>0.950520800002048</v>
      </c>
      <c r="H290" s="2">
        <v>0.07730328</v>
      </c>
      <c r="I290" s="6">
        <v>3168.86</v>
      </c>
      <c r="J290" s="6">
        <v>9665</v>
      </c>
      <c r="K290">
        <f t="shared" si="4"/>
        <v>0.327869632695292</v>
      </c>
      <c r="L290" s="2">
        <v>611.3219481</v>
      </c>
      <c r="M290" s="2">
        <v>50.86</v>
      </c>
      <c r="N290" s="6">
        <v>16.7</v>
      </c>
      <c r="O290" s="6">
        <v>113.95</v>
      </c>
      <c r="P290" s="6">
        <v>361.6</v>
      </c>
    </row>
    <row r="291" spans="1:16">
      <c r="A291" t="s">
        <v>30</v>
      </c>
      <c r="B291">
        <v>2012</v>
      </c>
      <c r="C291">
        <v>0.222053742166512</v>
      </c>
      <c r="D291" s="6">
        <v>44348</v>
      </c>
      <c r="E291" s="6">
        <v>14583.4</v>
      </c>
      <c r="F291" s="2">
        <v>0.495280196846636</v>
      </c>
      <c r="G291" s="2">
        <v>0.905532936194779</v>
      </c>
      <c r="H291" s="2">
        <v>0.07651626</v>
      </c>
      <c r="I291" s="6">
        <v>3195.2</v>
      </c>
      <c r="J291" s="6">
        <v>9708</v>
      </c>
      <c r="K291">
        <f t="shared" si="4"/>
        <v>0.329130613926658</v>
      </c>
      <c r="L291" s="2">
        <v>614.0417457</v>
      </c>
      <c r="M291" s="2">
        <v>52.03</v>
      </c>
      <c r="N291" s="6">
        <v>16.7</v>
      </c>
      <c r="O291" s="6">
        <v>154.42</v>
      </c>
      <c r="P291" s="6">
        <v>283.9</v>
      </c>
    </row>
    <row r="292" spans="1:16">
      <c r="A292" t="s">
        <v>30</v>
      </c>
      <c r="B292">
        <v>2013</v>
      </c>
      <c r="C292">
        <v>0.221693413108199</v>
      </c>
      <c r="D292" s="6">
        <v>48673</v>
      </c>
      <c r="E292" s="6">
        <v>16241.4</v>
      </c>
      <c r="F292" s="2">
        <v>0.477690028155448</v>
      </c>
      <c r="G292" s="2">
        <v>0.7468269675547</v>
      </c>
      <c r="H292" s="2">
        <v>0.07642944</v>
      </c>
      <c r="I292" s="6">
        <v>3549.03</v>
      </c>
      <c r="J292" s="6">
        <v>9746</v>
      </c>
      <c r="K292">
        <f t="shared" si="4"/>
        <v>0.364152472809358</v>
      </c>
      <c r="L292" s="2">
        <v>616.4452878</v>
      </c>
      <c r="M292" s="2">
        <v>53.46</v>
      </c>
      <c r="N292" s="6">
        <v>16.7</v>
      </c>
      <c r="O292" s="6">
        <v>212.81</v>
      </c>
      <c r="P292" s="6">
        <v>300.4</v>
      </c>
    </row>
    <row r="293" spans="1:16">
      <c r="A293" t="s">
        <v>30</v>
      </c>
      <c r="B293">
        <v>2014</v>
      </c>
      <c r="C293">
        <v>0.226185292671178</v>
      </c>
      <c r="D293" s="6">
        <v>51933</v>
      </c>
      <c r="E293" s="6">
        <v>18726.6</v>
      </c>
      <c r="F293" s="2">
        <v>0.464561160260602</v>
      </c>
      <c r="G293" s="2">
        <v>0.719076983070342</v>
      </c>
      <c r="H293" s="2">
        <v>0.07591194</v>
      </c>
      <c r="I293" s="6">
        <v>3691.12</v>
      </c>
      <c r="J293" s="6">
        <v>9808</v>
      </c>
      <c r="K293">
        <f t="shared" si="4"/>
        <v>0.376337683523654</v>
      </c>
      <c r="L293" s="2">
        <v>620.3668564</v>
      </c>
      <c r="M293" s="2">
        <v>54.77</v>
      </c>
      <c r="N293" s="6">
        <v>17.5</v>
      </c>
      <c r="O293" s="6">
        <v>166.67</v>
      </c>
      <c r="P293" s="6">
        <v>152.1</v>
      </c>
    </row>
    <row r="294" spans="1:16">
      <c r="A294" t="s">
        <v>30</v>
      </c>
      <c r="B294">
        <v>2015</v>
      </c>
      <c r="C294">
        <v>0.244587804751865</v>
      </c>
      <c r="D294" s="6">
        <v>56205</v>
      </c>
      <c r="E294" s="6">
        <v>20308.4</v>
      </c>
      <c r="F294" s="2">
        <v>0.448823269812331</v>
      </c>
      <c r="G294" s="2">
        <v>0.711391818957908</v>
      </c>
      <c r="H294" s="2">
        <v>0.08987841</v>
      </c>
      <c r="I294" s="6">
        <v>4685</v>
      </c>
      <c r="J294" s="6">
        <v>9866</v>
      </c>
      <c r="K294">
        <f t="shared" si="4"/>
        <v>0.474863166430164</v>
      </c>
      <c r="L294" s="2">
        <v>624.0354206</v>
      </c>
      <c r="M294" s="2">
        <v>56.97</v>
      </c>
      <c r="N294" s="6">
        <v>17.5</v>
      </c>
      <c r="O294" s="6">
        <v>217.08</v>
      </c>
      <c r="P294" s="6">
        <v>171.5</v>
      </c>
    </row>
    <row r="295" spans="1:16">
      <c r="A295" t="s">
        <v>30</v>
      </c>
      <c r="B295">
        <v>2016</v>
      </c>
      <c r="C295">
        <v>0.190695373626938</v>
      </c>
      <c r="D295" s="6">
        <v>59239</v>
      </c>
      <c r="E295" s="6">
        <v>25593.4</v>
      </c>
      <c r="F295" s="2">
        <v>0.435056370984897</v>
      </c>
      <c r="G295" s="2">
        <v>0.683054669219315</v>
      </c>
      <c r="H295" s="2">
        <v>0.0902261</v>
      </c>
      <c r="I295" s="6">
        <v>5329.27</v>
      </c>
      <c r="J295" s="6">
        <v>9973</v>
      </c>
      <c r="K295">
        <f t="shared" si="4"/>
        <v>0.534369798455831</v>
      </c>
      <c r="L295" s="2">
        <v>630.8032891</v>
      </c>
      <c r="M295" s="2">
        <v>59.13</v>
      </c>
      <c r="N295" s="6">
        <v>17.5</v>
      </c>
      <c r="O295" s="6">
        <v>239.28</v>
      </c>
      <c r="P295" s="6">
        <v>222.6</v>
      </c>
    </row>
    <row r="296" spans="1:16">
      <c r="A296" t="s">
        <v>30</v>
      </c>
      <c r="B296">
        <v>2017</v>
      </c>
      <c r="C296">
        <v>0.180709514891784</v>
      </c>
      <c r="D296" s="6">
        <v>62993</v>
      </c>
      <c r="E296" s="6">
        <v>28285.5</v>
      </c>
      <c r="F296" s="2">
        <v>0.427308405845861</v>
      </c>
      <c r="G296" s="2">
        <v>0.636353970110503</v>
      </c>
      <c r="H296" s="2">
        <v>0.08608838</v>
      </c>
      <c r="I296" s="6">
        <v>5162.74</v>
      </c>
      <c r="J296" s="6">
        <v>10033</v>
      </c>
      <c r="K296">
        <f t="shared" si="4"/>
        <v>0.514575899531546</v>
      </c>
      <c r="L296" s="2">
        <v>634.5983555</v>
      </c>
      <c r="M296" s="2">
        <v>60.79</v>
      </c>
      <c r="N296" s="6">
        <v>17.5</v>
      </c>
      <c r="O296" s="6">
        <v>236.84</v>
      </c>
      <c r="P296" s="6">
        <v>226.1</v>
      </c>
    </row>
    <row r="297" spans="1:16">
      <c r="A297" t="s">
        <v>30</v>
      </c>
      <c r="B297">
        <v>2018</v>
      </c>
      <c r="C297">
        <v>0.167363687955252</v>
      </c>
      <c r="D297" s="6">
        <v>66284</v>
      </c>
      <c r="E297" s="6">
        <v>32215.7</v>
      </c>
      <c r="F297" s="2">
        <v>0.412965555320493</v>
      </c>
      <c r="G297" s="2">
        <v>0.608877265791333</v>
      </c>
      <c r="H297" s="2">
        <v>0.08574799</v>
      </c>
      <c r="I297" s="6">
        <v>5825.61</v>
      </c>
      <c r="J297" s="6">
        <v>10077</v>
      </c>
      <c r="K297">
        <f t="shared" si="4"/>
        <v>0.5781095564156</v>
      </c>
      <c r="L297" s="2">
        <v>637.3814042</v>
      </c>
      <c r="M297" s="2">
        <v>61.46</v>
      </c>
      <c r="N297" s="6">
        <v>17.5</v>
      </c>
      <c r="O297" s="6">
        <v>287.2</v>
      </c>
      <c r="P297" s="6">
        <v>342.4</v>
      </c>
    </row>
    <row r="298" spans="1:16">
      <c r="A298" t="s">
        <v>30</v>
      </c>
      <c r="B298">
        <v>2019</v>
      </c>
      <c r="C298">
        <v>0.159611738924832</v>
      </c>
      <c r="D298" s="6">
        <v>69901</v>
      </c>
      <c r="E298" s="6">
        <v>36616.9</v>
      </c>
      <c r="F298" s="2">
        <v>0.399370574350905</v>
      </c>
      <c r="G298" s="2">
        <v>0.586755126487621</v>
      </c>
      <c r="H298" s="2">
        <v>0.08579472</v>
      </c>
      <c r="I298" s="6">
        <v>5897.22</v>
      </c>
      <c r="J298" s="6">
        <v>10106</v>
      </c>
      <c r="K298">
        <f t="shared" si="4"/>
        <v>0.583536512962596</v>
      </c>
      <c r="L298" s="2">
        <v>639.2156863</v>
      </c>
      <c r="M298" s="2">
        <v>61.86</v>
      </c>
      <c r="N298" s="6">
        <v>17.5</v>
      </c>
      <c r="O298" s="6">
        <v>306.5</v>
      </c>
      <c r="P298" s="6">
        <v>194.1</v>
      </c>
    </row>
    <row r="299" spans="1:16">
      <c r="A299" t="s">
        <v>30</v>
      </c>
      <c r="B299">
        <v>2020</v>
      </c>
      <c r="C299">
        <v>0.156282058307951</v>
      </c>
      <c r="D299" s="6">
        <v>71825</v>
      </c>
      <c r="E299" s="6">
        <v>41535.5</v>
      </c>
      <c r="F299" s="2">
        <v>0.390898401334099</v>
      </c>
      <c r="G299" s="2">
        <v>0.599589141941832</v>
      </c>
      <c r="H299" s="2">
        <v>0.09239782</v>
      </c>
      <c r="I299" s="6">
        <v>5806.43</v>
      </c>
      <c r="J299" s="6">
        <v>10165</v>
      </c>
      <c r="K299">
        <f t="shared" si="4"/>
        <v>0.57121790457452</v>
      </c>
      <c r="L299" s="2">
        <v>642.9165085</v>
      </c>
      <c r="M299" s="2">
        <v>63.05</v>
      </c>
      <c r="N299" s="6">
        <v>17.5</v>
      </c>
      <c r="O299" s="6">
        <v>291.54</v>
      </c>
      <c r="P299" s="6">
        <v>370.3</v>
      </c>
    </row>
    <row r="300" spans="1:16">
      <c r="A300" t="s">
        <v>30</v>
      </c>
      <c r="B300">
        <v>2021</v>
      </c>
      <c r="C300">
        <v>0.153241704816501</v>
      </c>
      <c r="D300" s="6">
        <v>81510</v>
      </c>
      <c r="E300" s="6">
        <v>47021.5</v>
      </c>
      <c r="F300" s="2">
        <v>0.396192105720409</v>
      </c>
      <c r="G300" s="2">
        <v>0.554268586891321</v>
      </c>
      <c r="H300" s="2">
        <v>0.08881377</v>
      </c>
      <c r="I300" s="6">
        <v>6210.32</v>
      </c>
      <c r="J300" s="6">
        <v>10170</v>
      </c>
      <c r="K300">
        <f t="shared" si="4"/>
        <v>0.610650934119961</v>
      </c>
      <c r="L300" s="2">
        <v>643.2631246</v>
      </c>
      <c r="M300" s="2">
        <v>63.94</v>
      </c>
      <c r="N300" s="6">
        <v>17.5</v>
      </c>
      <c r="O300" s="6">
        <v>266.79</v>
      </c>
      <c r="P300" s="6">
        <v>516.6</v>
      </c>
    </row>
    <row r="301" spans="1:16">
      <c r="A301" t="s">
        <v>30</v>
      </c>
      <c r="B301">
        <v>2022</v>
      </c>
      <c r="C301">
        <v>0.1483789988318</v>
      </c>
      <c r="D301" s="6">
        <v>86143</v>
      </c>
      <c r="E301" s="6">
        <v>53128.2</v>
      </c>
      <c r="F301" s="2">
        <v>0.400459312106923</v>
      </c>
      <c r="G301" s="2">
        <v>0.550886905733668</v>
      </c>
      <c r="H301" s="2">
        <v>0.087768536</v>
      </c>
      <c r="I301" s="6">
        <v>6359.2</v>
      </c>
      <c r="J301" s="6">
        <v>10163</v>
      </c>
      <c r="K301">
        <f t="shared" si="4"/>
        <v>0.625720751746532</v>
      </c>
      <c r="L301" s="2">
        <v>642.8077166</v>
      </c>
      <c r="M301" s="2">
        <v>62.22</v>
      </c>
      <c r="N301" s="6">
        <v>17.5</v>
      </c>
      <c r="O301" s="6">
        <v>218.1</v>
      </c>
      <c r="P301" s="6">
        <v>500.6</v>
      </c>
    </row>
    <row r="302" spans="1:16">
      <c r="A302" t="s">
        <v>31</v>
      </c>
      <c r="B302">
        <v>2003</v>
      </c>
      <c r="C302">
        <v>0.462756818114399</v>
      </c>
      <c r="D302" s="6">
        <v>7376</v>
      </c>
      <c r="E302" s="6">
        <v>2870.2</v>
      </c>
      <c r="F302" s="2">
        <v>0.482340401014059</v>
      </c>
      <c r="G302" s="2">
        <v>1.52611200737497</v>
      </c>
      <c r="H302" s="2">
        <v>0.0551722</v>
      </c>
      <c r="I302" s="6">
        <v>1025.1</v>
      </c>
      <c r="J302" s="6">
        <v>9667</v>
      </c>
      <c r="K302">
        <f t="shared" si="4"/>
        <v>0.106041170994104</v>
      </c>
      <c r="L302" s="2">
        <v>578.8622754</v>
      </c>
      <c r="M302" s="2">
        <v>27.21</v>
      </c>
      <c r="N302" s="6">
        <v>20.2</v>
      </c>
      <c r="O302" s="6">
        <v>58.15</v>
      </c>
      <c r="P302" s="6">
        <v>370.7</v>
      </c>
    </row>
    <row r="303" spans="1:16">
      <c r="A303" t="s">
        <v>31</v>
      </c>
      <c r="B303">
        <v>2004</v>
      </c>
      <c r="C303">
        <v>0.425534874007336</v>
      </c>
      <c r="D303" s="6">
        <v>9047</v>
      </c>
      <c r="E303" s="6">
        <v>3370.2</v>
      </c>
      <c r="F303" s="2">
        <v>0.485150751379114</v>
      </c>
      <c r="G303" s="2">
        <v>1.5543751188891</v>
      </c>
      <c r="H303" s="2">
        <v>0.05475352</v>
      </c>
      <c r="I303" s="6">
        <v>1280.75</v>
      </c>
      <c r="J303" s="6">
        <v>9717</v>
      </c>
      <c r="K303">
        <f t="shared" si="4"/>
        <v>0.131805083873624</v>
      </c>
      <c r="L303" s="2">
        <v>581.8562874</v>
      </c>
      <c r="M303" s="2">
        <v>28.91</v>
      </c>
      <c r="N303" s="6">
        <v>20.2</v>
      </c>
      <c r="O303" s="6">
        <v>58.15</v>
      </c>
      <c r="P303" s="6">
        <v>418.4</v>
      </c>
    </row>
    <row r="304" spans="1:16">
      <c r="A304" t="s">
        <v>31</v>
      </c>
      <c r="B304">
        <v>2005</v>
      </c>
      <c r="C304">
        <v>0.412722585582649</v>
      </c>
      <c r="D304" s="6">
        <v>10978</v>
      </c>
      <c r="E304" s="6">
        <v>3817.9</v>
      </c>
      <c r="F304" s="2">
        <v>0.50786352320984</v>
      </c>
      <c r="G304" s="2">
        <v>1.42769561185142</v>
      </c>
      <c r="H304" s="2">
        <v>0.0546396</v>
      </c>
      <c r="I304" s="6">
        <v>1414.68</v>
      </c>
      <c r="J304" s="6">
        <v>9380</v>
      </c>
      <c r="K304">
        <f t="shared" si="4"/>
        <v>0.150818763326226</v>
      </c>
      <c r="L304" s="2">
        <v>561.6766467</v>
      </c>
      <c r="M304" s="2">
        <v>30.65</v>
      </c>
      <c r="N304" s="6">
        <v>20.2</v>
      </c>
      <c r="O304" s="6">
        <v>58.15</v>
      </c>
      <c r="P304" s="6">
        <v>597.2</v>
      </c>
    </row>
    <row r="305" spans="1:16">
      <c r="A305" t="s">
        <v>31</v>
      </c>
      <c r="B305">
        <v>2006</v>
      </c>
      <c r="C305">
        <v>0.440407656167055</v>
      </c>
      <c r="D305" s="6">
        <v>12761</v>
      </c>
      <c r="E305" s="6">
        <v>4251.5</v>
      </c>
      <c r="F305" s="2">
        <v>0.527321149784186</v>
      </c>
      <c r="G305" s="2">
        <v>1.35543960126566</v>
      </c>
      <c r="H305" s="2">
        <v>0.05372997</v>
      </c>
      <c r="I305" s="6">
        <v>1600.5</v>
      </c>
      <c r="J305" s="6">
        <v>9392</v>
      </c>
      <c r="K305">
        <f t="shared" si="4"/>
        <v>0.170410988074957</v>
      </c>
      <c r="L305" s="2">
        <v>562.3952096</v>
      </c>
      <c r="M305" s="2">
        <v>32.47</v>
      </c>
      <c r="N305" s="6">
        <v>20.2</v>
      </c>
      <c r="O305" s="6">
        <v>58.06</v>
      </c>
      <c r="P305" s="6">
        <v>342.8</v>
      </c>
    </row>
    <row r="306" spans="1:16">
      <c r="A306" t="s">
        <v>31</v>
      </c>
      <c r="B306">
        <v>2007</v>
      </c>
      <c r="C306">
        <v>0.403235850993788</v>
      </c>
      <c r="D306" s="6">
        <v>15811</v>
      </c>
      <c r="E306" s="6">
        <v>4820</v>
      </c>
      <c r="F306" s="2">
        <v>0.533171439171642</v>
      </c>
      <c r="G306" s="2">
        <v>1.20348072447637</v>
      </c>
      <c r="H306" s="2">
        <v>0.05554423</v>
      </c>
      <c r="I306" s="6">
        <v>1918.26</v>
      </c>
      <c r="J306" s="6">
        <v>9360</v>
      </c>
      <c r="K306">
        <f t="shared" si="4"/>
        <v>0.204942307692308</v>
      </c>
      <c r="L306" s="2">
        <v>560.4790419</v>
      </c>
      <c r="M306" s="2">
        <v>34.34</v>
      </c>
      <c r="N306" s="6">
        <v>20.2</v>
      </c>
      <c r="O306" s="6">
        <v>60.92</v>
      </c>
      <c r="P306" s="6">
        <v>496.1</v>
      </c>
    </row>
    <row r="307" spans="1:16">
      <c r="A307" t="s">
        <v>31</v>
      </c>
      <c r="B307">
        <v>2008</v>
      </c>
      <c r="C307">
        <v>0.42147412691033</v>
      </c>
      <c r="D307" s="6">
        <v>18879</v>
      </c>
      <c r="E307" s="6">
        <v>5521.5</v>
      </c>
      <c r="F307" s="2">
        <v>0.54766885244053</v>
      </c>
      <c r="G307" s="2">
        <v>1.0699203310799</v>
      </c>
      <c r="H307" s="2">
        <v>0.05737323</v>
      </c>
      <c r="I307" s="6">
        <v>1977.78</v>
      </c>
      <c r="J307" s="6">
        <v>9429</v>
      </c>
      <c r="K307">
        <f t="shared" si="4"/>
        <v>0.209755011135857</v>
      </c>
      <c r="L307" s="2">
        <v>564.6107784</v>
      </c>
      <c r="M307" s="2">
        <v>36.03</v>
      </c>
      <c r="N307" s="6">
        <v>20.2</v>
      </c>
      <c r="O307" s="6">
        <v>75.85</v>
      </c>
      <c r="P307" s="6">
        <v>395.2</v>
      </c>
    </row>
    <row r="308" spans="1:16">
      <c r="A308" t="s">
        <v>31</v>
      </c>
      <c r="B308">
        <v>2009</v>
      </c>
      <c r="C308">
        <v>0.387336653022511</v>
      </c>
      <c r="D308" s="6">
        <v>20280</v>
      </c>
      <c r="E308" s="6">
        <v>6248.9</v>
      </c>
      <c r="F308" s="2">
        <v>0.538272248579323</v>
      </c>
      <c r="G308" s="2">
        <v>1.02971690735624</v>
      </c>
      <c r="H308" s="2">
        <v>0.05687572</v>
      </c>
      <c r="I308" s="6">
        <v>2055.46</v>
      </c>
      <c r="J308" s="6">
        <v>9487</v>
      </c>
      <c r="K308">
        <f t="shared" si="4"/>
        <v>0.216660693580689</v>
      </c>
      <c r="L308" s="2">
        <v>568.0868263</v>
      </c>
      <c r="M308" s="2">
        <v>37.7</v>
      </c>
      <c r="N308" s="6">
        <v>21.5</v>
      </c>
      <c r="O308" s="6">
        <v>92.98</v>
      </c>
      <c r="P308" s="6">
        <v>347.6</v>
      </c>
    </row>
    <row r="309" spans="1:16">
      <c r="A309" t="s">
        <v>31</v>
      </c>
      <c r="B309">
        <v>2010</v>
      </c>
      <c r="C309">
        <v>0.378295394509255</v>
      </c>
      <c r="D309" s="6">
        <v>23984</v>
      </c>
      <c r="E309" s="6">
        <v>7402.6</v>
      </c>
      <c r="F309" s="2">
        <v>0.537342749944825</v>
      </c>
      <c r="G309" s="2">
        <v>0.946270580445818</v>
      </c>
      <c r="H309" s="2">
        <v>0.05604827</v>
      </c>
      <c r="I309" s="6">
        <v>2191.78</v>
      </c>
      <c r="J309" s="6">
        <v>9405</v>
      </c>
      <c r="K309">
        <f t="shared" si="4"/>
        <v>0.233044125465178</v>
      </c>
      <c r="L309" s="2">
        <v>563.2017964</v>
      </c>
      <c r="M309" s="2">
        <v>38.5</v>
      </c>
      <c r="N309" s="6">
        <v>21.5</v>
      </c>
      <c r="O309" s="6">
        <v>96.38</v>
      </c>
      <c r="P309" s="6">
        <v>566.2</v>
      </c>
    </row>
    <row r="310" spans="1:16">
      <c r="A310" t="s">
        <v>31</v>
      </c>
      <c r="B310">
        <v>2011</v>
      </c>
      <c r="C310">
        <v>0.350692998626899</v>
      </c>
      <c r="D310" s="6">
        <v>27901</v>
      </c>
      <c r="E310" s="6">
        <v>8617.9</v>
      </c>
      <c r="F310" s="2">
        <v>0.532761876536455</v>
      </c>
      <c r="G310" s="2">
        <v>0.876259085745117</v>
      </c>
      <c r="H310" s="2">
        <v>0.05654639</v>
      </c>
      <c r="I310" s="6">
        <v>2584.57</v>
      </c>
      <c r="J310" s="6">
        <v>9461</v>
      </c>
      <c r="K310">
        <f t="shared" si="4"/>
        <v>0.273181481872952</v>
      </c>
      <c r="L310" s="2">
        <v>566.5269461</v>
      </c>
      <c r="M310" s="2">
        <v>40.47</v>
      </c>
      <c r="N310" s="6">
        <v>21.5</v>
      </c>
      <c r="O310" s="6">
        <v>95.6</v>
      </c>
      <c r="P310" s="6">
        <v>349</v>
      </c>
    </row>
    <row r="311" spans="1:16">
      <c r="A311" t="s">
        <v>31</v>
      </c>
      <c r="B311">
        <v>2012</v>
      </c>
      <c r="C311">
        <v>0.337649832864128</v>
      </c>
      <c r="D311" s="6">
        <v>30497</v>
      </c>
      <c r="E311" s="6">
        <v>9754.4</v>
      </c>
      <c r="F311" s="2">
        <v>0.519392719400316</v>
      </c>
      <c r="G311" s="2">
        <v>0.816490285513036</v>
      </c>
      <c r="H311" s="2">
        <v>0.05540767</v>
      </c>
      <c r="I311" s="6">
        <v>2626.9</v>
      </c>
      <c r="J311" s="6">
        <v>9532</v>
      </c>
      <c r="K311">
        <f t="shared" si="4"/>
        <v>0.275587494754511</v>
      </c>
      <c r="L311" s="2">
        <v>570.7784431</v>
      </c>
      <c r="M311" s="2">
        <v>41.99</v>
      </c>
      <c r="N311" s="6">
        <v>21.5</v>
      </c>
      <c r="O311" s="6">
        <v>109.45</v>
      </c>
      <c r="P311" s="6">
        <v>282.6</v>
      </c>
    </row>
    <row r="312" spans="1:16">
      <c r="A312" t="s">
        <v>31</v>
      </c>
      <c r="B312">
        <v>2013</v>
      </c>
      <c r="C312">
        <v>0.317556134824564</v>
      </c>
      <c r="D312" s="6">
        <v>33114</v>
      </c>
      <c r="E312" s="6">
        <v>11086.7</v>
      </c>
      <c r="F312" s="2">
        <v>0.505663479016834</v>
      </c>
      <c r="G312" s="2">
        <v>0.692610448115072</v>
      </c>
      <c r="H312" s="2">
        <v>0.05426799</v>
      </c>
      <c r="I312" s="6">
        <v>2864</v>
      </c>
      <c r="J312" s="6">
        <v>9573</v>
      </c>
      <c r="K312">
        <f t="shared" si="4"/>
        <v>0.29917476235245</v>
      </c>
      <c r="L312" s="2">
        <v>573.2335329</v>
      </c>
      <c r="M312" s="2">
        <v>43.6</v>
      </c>
      <c r="N312" s="6">
        <v>21.5</v>
      </c>
      <c r="O312" s="6">
        <v>111.92</v>
      </c>
      <c r="P312" s="6">
        <v>226.4</v>
      </c>
    </row>
    <row r="313" spans="1:16">
      <c r="A313" t="s">
        <v>31</v>
      </c>
      <c r="B313">
        <v>2014</v>
      </c>
      <c r="C313">
        <v>0.306961376093619</v>
      </c>
      <c r="D313" s="6">
        <v>35982</v>
      </c>
      <c r="E313" s="6">
        <v>12325.6</v>
      </c>
      <c r="F313" s="2">
        <v>0.495725210268751</v>
      </c>
      <c r="G313" s="2">
        <v>0.662040850561681</v>
      </c>
      <c r="H313" s="2">
        <v>0.05247561</v>
      </c>
      <c r="I313" s="6">
        <v>2729.87</v>
      </c>
      <c r="J313" s="6">
        <v>9645</v>
      </c>
      <c r="K313">
        <f t="shared" si="4"/>
        <v>0.283034733022291</v>
      </c>
      <c r="L313" s="2">
        <v>577.5449102</v>
      </c>
      <c r="M313" s="2">
        <v>45.05</v>
      </c>
      <c r="N313" s="6">
        <v>24.1</v>
      </c>
      <c r="O313" s="6">
        <v>119.95</v>
      </c>
      <c r="P313" s="6">
        <v>300.7</v>
      </c>
    </row>
    <row r="314" spans="1:16">
      <c r="A314" t="s">
        <v>31</v>
      </c>
      <c r="B314">
        <v>2015</v>
      </c>
      <c r="C314">
        <v>0.309966125843143</v>
      </c>
      <c r="D314" s="6">
        <v>38338</v>
      </c>
      <c r="E314" s="6">
        <v>13721</v>
      </c>
      <c r="F314" s="2">
        <v>0.483978308763055</v>
      </c>
      <c r="G314" s="2">
        <v>0.602495409083677</v>
      </c>
      <c r="H314" s="2">
        <v>0.05057904</v>
      </c>
      <c r="I314" s="6">
        <v>2625</v>
      </c>
      <c r="J314" s="6">
        <v>9701</v>
      </c>
      <c r="K314">
        <f t="shared" si="4"/>
        <v>0.270590660756623</v>
      </c>
      <c r="L314" s="2">
        <v>580.8982036</v>
      </c>
      <c r="M314" s="2">
        <v>47.02</v>
      </c>
      <c r="N314" s="6">
        <v>24.1</v>
      </c>
      <c r="O314" s="6">
        <v>177.77</v>
      </c>
      <c r="P314" s="6">
        <v>303.7</v>
      </c>
    </row>
    <row r="315" spans="1:16">
      <c r="A315" t="s">
        <v>31</v>
      </c>
      <c r="B315">
        <v>2016</v>
      </c>
      <c r="C315">
        <v>0.241405355626141</v>
      </c>
      <c r="D315" s="6">
        <v>41326</v>
      </c>
      <c r="E315" s="6">
        <v>15250.8</v>
      </c>
      <c r="F315" s="2">
        <v>0.471732427644704</v>
      </c>
      <c r="G315" s="2">
        <v>0.554618341188542</v>
      </c>
      <c r="H315" s="2">
        <v>0.0500301</v>
      </c>
      <c r="I315" s="6">
        <v>2652.66</v>
      </c>
      <c r="J315" s="6">
        <v>9778</v>
      </c>
      <c r="K315">
        <f t="shared" si="4"/>
        <v>0.271288607077112</v>
      </c>
      <c r="L315" s="2">
        <v>585.508982</v>
      </c>
      <c r="M315" s="2">
        <v>48.78</v>
      </c>
      <c r="N315" s="6">
        <v>24.1</v>
      </c>
      <c r="O315" s="6">
        <v>195.72</v>
      </c>
      <c r="P315" s="6">
        <v>354.8</v>
      </c>
    </row>
    <row r="316" spans="1:16">
      <c r="A316" t="s">
        <v>31</v>
      </c>
      <c r="B316">
        <v>2017</v>
      </c>
      <c r="C316">
        <v>0.208797943527931</v>
      </c>
      <c r="D316" s="6">
        <v>45723</v>
      </c>
      <c r="E316" s="6">
        <v>17029.7</v>
      </c>
      <c r="F316" s="2">
        <v>0.467157762761322</v>
      </c>
      <c r="G316" s="2">
        <v>0.49441270365355</v>
      </c>
      <c r="H316" s="2">
        <v>0.05019564</v>
      </c>
      <c r="I316" s="6">
        <v>2739.63</v>
      </c>
      <c r="J316" s="6">
        <v>9829</v>
      </c>
      <c r="K316">
        <f t="shared" si="4"/>
        <v>0.278729270525994</v>
      </c>
      <c r="L316" s="2">
        <v>588.5628743</v>
      </c>
      <c r="M316" s="2">
        <v>50.56</v>
      </c>
      <c r="N316" s="6">
        <v>24.1</v>
      </c>
      <c r="O316" s="6">
        <v>241.65</v>
      </c>
      <c r="P316" s="6">
        <v>443.2</v>
      </c>
    </row>
    <row r="317" spans="1:16">
      <c r="A317" t="s">
        <v>31</v>
      </c>
      <c r="B317">
        <v>2018</v>
      </c>
      <c r="C317">
        <v>0.188482241537743</v>
      </c>
      <c r="D317" s="6">
        <v>50714</v>
      </c>
      <c r="E317" s="6">
        <v>18906.1</v>
      </c>
      <c r="F317" s="2">
        <v>0.441337795053258</v>
      </c>
      <c r="G317" s="2">
        <v>0.453761722528281</v>
      </c>
      <c r="H317" s="2">
        <v>0.04953019</v>
      </c>
      <c r="I317" s="6">
        <v>3050.14</v>
      </c>
      <c r="J317" s="6">
        <v>9864</v>
      </c>
      <c r="K317">
        <f t="shared" si="4"/>
        <v>0.309219383617194</v>
      </c>
      <c r="L317" s="2">
        <v>590.6586826</v>
      </c>
      <c r="M317" s="2">
        <v>52.24</v>
      </c>
      <c r="N317" s="6">
        <v>24.1</v>
      </c>
      <c r="O317" s="6">
        <v>358.7</v>
      </c>
      <c r="P317" s="6">
        <v>354.6</v>
      </c>
    </row>
    <row r="318" spans="1:16">
      <c r="A318" t="s">
        <v>31</v>
      </c>
      <c r="B318">
        <v>2019</v>
      </c>
      <c r="C318">
        <v>0.17942726280876</v>
      </c>
      <c r="D318" s="6">
        <v>54356</v>
      </c>
      <c r="E318" s="6">
        <v>20736.5</v>
      </c>
      <c r="F318" s="2">
        <v>0.428826199136971</v>
      </c>
      <c r="G318" s="2">
        <v>0.41513241420907</v>
      </c>
      <c r="H318" s="2">
        <v>0.04641279</v>
      </c>
      <c r="I318" s="6">
        <v>2888.31</v>
      </c>
      <c r="J318" s="6">
        <v>9901</v>
      </c>
      <c r="K318">
        <f t="shared" si="4"/>
        <v>0.291719018280982</v>
      </c>
      <c r="L318" s="2">
        <v>592.8742515</v>
      </c>
      <c r="M318" s="2">
        <v>54.01</v>
      </c>
      <c r="N318" s="6">
        <v>24.1</v>
      </c>
      <c r="O318" s="6">
        <v>352.29</v>
      </c>
      <c r="P318" s="6">
        <v>175.2</v>
      </c>
    </row>
    <row r="319" spans="1:16">
      <c r="A319" t="s">
        <v>31</v>
      </c>
      <c r="B319">
        <v>2020</v>
      </c>
      <c r="C319">
        <v>0.178188470165835</v>
      </c>
      <c r="D319" s="6">
        <v>54691</v>
      </c>
      <c r="E319" s="6">
        <v>22501.8</v>
      </c>
      <c r="F319" s="2">
        <v>0.409530883128085</v>
      </c>
      <c r="G319" s="2">
        <v>0.419319048865266</v>
      </c>
      <c r="H319" s="2">
        <v>0.04516043</v>
      </c>
      <c r="I319" s="6">
        <v>2906.12</v>
      </c>
      <c r="J319" s="6">
        <v>9941</v>
      </c>
      <c r="K319">
        <f t="shared" si="4"/>
        <v>0.292336787043557</v>
      </c>
      <c r="L319" s="2">
        <v>595.2796407</v>
      </c>
      <c r="M319" s="2">
        <v>55.43</v>
      </c>
      <c r="N319" s="6">
        <v>24.1</v>
      </c>
      <c r="O319" s="6">
        <v>272.63</v>
      </c>
      <c r="P319" s="6">
        <v>411.9</v>
      </c>
    </row>
    <row r="320" spans="1:16">
      <c r="A320" t="s">
        <v>31</v>
      </c>
      <c r="B320">
        <v>2021</v>
      </c>
      <c r="C320">
        <v>0.158142809902766</v>
      </c>
      <c r="D320" s="6">
        <v>58587</v>
      </c>
      <c r="E320" s="6">
        <v>24187.3</v>
      </c>
      <c r="F320" s="2">
        <v>0.40581766583895</v>
      </c>
      <c r="G320" s="2">
        <v>0.404691466022861</v>
      </c>
      <c r="H320" s="2">
        <v>0.04387157</v>
      </c>
      <c r="I320" s="6">
        <v>3039.08</v>
      </c>
      <c r="J320" s="6">
        <v>9883</v>
      </c>
      <c r="K320">
        <f t="shared" si="4"/>
        <v>0.307505818071436</v>
      </c>
      <c r="L320" s="2">
        <v>591.7964072</v>
      </c>
      <c r="M320" s="2">
        <v>56.45</v>
      </c>
      <c r="N320" s="6">
        <v>24.1</v>
      </c>
      <c r="O320" s="6">
        <v>210.41</v>
      </c>
      <c r="P320" s="6">
        <v>695.3</v>
      </c>
    </row>
    <row r="321" spans="1:16">
      <c r="A321" t="s">
        <v>31</v>
      </c>
      <c r="B321">
        <v>2022</v>
      </c>
      <c r="C321">
        <v>0.154462346340737</v>
      </c>
      <c r="D321" s="6">
        <v>58942</v>
      </c>
      <c r="E321" s="6">
        <v>25782.3</v>
      </c>
      <c r="F321" s="2">
        <v>0.415110579329074</v>
      </c>
      <c r="G321" s="2">
        <v>0.397281703548994</v>
      </c>
      <c r="H321" s="2">
        <v>0.05842356</v>
      </c>
      <c r="I321" s="6">
        <v>3286.86</v>
      </c>
      <c r="J321" s="6">
        <v>9872</v>
      </c>
      <c r="K321">
        <f t="shared" si="4"/>
        <v>0.33294773095624</v>
      </c>
      <c r="L321" s="2">
        <v>591.1377246</v>
      </c>
      <c r="M321" s="2">
        <v>57.252</v>
      </c>
      <c r="N321" s="6">
        <v>24.1</v>
      </c>
      <c r="O321" s="6">
        <v>183.19</v>
      </c>
      <c r="P321" s="6">
        <v>252.5</v>
      </c>
    </row>
    <row r="322" spans="1:16">
      <c r="A322" t="s">
        <v>32</v>
      </c>
      <c r="B322">
        <v>2003</v>
      </c>
      <c r="C322">
        <v>0.40233540618233</v>
      </c>
      <c r="D322" s="6">
        <v>8378</v>
      </c>
      <c r="E322" s="6">
        <v>2188</v>
      </c>
      <c r="F322" s="2">
        <v>0.409837099316868</v>
      </c>
      <c r="G322" s="2">
        <v>1.62011560693642</v>
      </c>
      <c r="H322" s="2">
        <v>0.03331863</v>
      </c>
      <c r="I322" s="6">
        <v>780.46</v>
      </c>
      <c r="J322" s="6">
        <v>5685</v>
      </c>
      <c r="K322">
        <f t="shared" si="4"/>
        <v>0.137284080914688</v>
      </c>
      <c r="L322" s="2">
        <v>305.809575</v>
      </c>
      <c r="M322" s="2">
        <v>42</v>
      </c>
      <c r="N322" s="6">
        <v>31.1</v>
      </c>
      <c r="O322" s="6">
        <v>25.75</v>
      </c>
      <c r="P322" s="6">
        <v>1661.3</v>
      </c>
    </row>
    <row r="323" spans="1:16">
      <c r="A323" t="s">
        <v>32</v>
      </c>
      <c r="B323">
        <v>2004</v>
      </c>
      <c r="C323">
        <v>0.390422644209699</v>
      </c>
      <c r="D323" s="6">
        <v>9746</v>
      </c>
      <c r="E323" s="6">
        <v>2452.6</v>
      </c>
      <c r="F323" s="2">
        <v>0.409875964520084</v>
      </c>
      <c r="G323" s="2">
        <v>1.64419124540275</v>
      </c>
      <c r="H323" s="2">
        <v>0.03218971</v>
      </c>
      <c r="I323" s="6">
        <v>1096.77</v>
      </c>
      <c r="J323" s="6">
        <v>5698</v>
      </c>
      <c r="K323">
        <f t="shared" ref="K323:K386" si="5">I323/J323</f>
        <v>0.192483327483327</v>
      </c>
      <c r="L323" s="2">
        <v>306.5088757</v>
      </c>
      <c r="M323" s="2">
        <v>42.6</v>
      </c>
      <c r="N323" s="6">
        <v>31.1</v>
      </c>
      <c r="O323" s="6">
        <v>25.75</v>
      </c>
      <c r="P323" s="6">
        <v>1539.8</v>
      </c>
    </row>
    <row r="324" spans="1:16">
      <c r="A324" t="s">
        <v>32</v>
      </c>
      <c r="B324">
        <v>2005</v>
      </c>
      <c r="C324">
        <v>0.370037885065237</v>
      </c>
      <c r="D324" s="6">
        <v>11342</v>
      </c>
      <c r="E324" s="6">
        <v>2785.4</v>
      </c>
      <c r="F324" s="2">
        <v>0.426418535635346</v>
      </c>
      <c r="G324" s="2">
        <v>1.52255900582716</v>
      </c>
      <c r="H324" s="2">
        <v>0.03186543</v>
      </c>
      <c r="I324" s="6">
        <v>1289.8</v>
      </c>
      <c r="J324" s="6">
        <v>5710</v>
      </c>
      <c r="K324">
        <f t="shared" si="5"/>
        <v>0.225884413309982</v>
      </c>
      <c r="L324" s="2">
        <v>307.1543841</v>
      </c>
      <c r="M324" s="2">
        <v>43.2</v>
      </c>
      <c r="N324" s="6">
        <v>31.1</v>
      </c>
      <c r="O324" s="6">
        <v>25.77</v>
      </c>
      <c r="P324" s="6">
        <v>1640.6</v>
      </c>
    </row>
    <row r="325" spans="1:16">
      <c r="A325" t="s">
        <v>32</v>
      </c>
      <c r="B325">
        <v>2006</v>
      </c>
      <c r="C325">
        <v>0.298177743514722</v>
      </c>
      <c r="D325" s="6">
        <v>13210</v>
      </c>
      <c r="E325" s="6">
        <v>3124.4</v>
      </c>
      <c r="F325" s="2">
        <v>0.434265381449322</v>
      </c>
      <c r="G325" s="2">
        <v>1.43349000238987</v>
      </c>
      <c r="H325" s="2">
        <v>0.03092094</v>
      </c>
      <c r="I325" s="6">
        <v>1306.67</v>
      </c>
      <c r="J325" s="6">
        <v>5693</v>
      </c>
      <c r="K325">
        <f t="shared" si="5"/>
        <v>0.229522220270508</v>
      </c>
      <c r="L325" s="2">
        <v>306.2399139</v>
      </c>
      <c r="M325" s="2">
        <v>43.8</v>
      </c>
      <c r="N325" s="6">
        <v>31.1</v>
      </c>
      <c r="O325" s="6">
        <v>25.92</v>
      </c>
      <c r="P325" s="6">
        <v>1122</v>
      </c>
    </row>
    <row r="326" spans="1:16">
      <c r="A326" t="s">
        <v>32</v>
      </c>
      <c r="B326">
        <v>2007</v>
      </c>
      <c r="C326">
        <v>0.259106334563916</v>
      </c>
      <c r="D326" s="6">
        <v>16593</v>
      </c>
      <c r="E326" s="6">
        <v>3709.7</v>
      </c>
      <c r="F326" s="2">
        <v>0.436855915525742</v>
      </c>
      <c r="G326" s="2">
        <v>1.25490297733669</v>
      </c>
      <c r="H326" s="2">
        <v>0.03039062</v>
      </c>
      <c r="I326" s="6">
        <v>1588.39</v>
      </c>
      <c r="J326" s="6">
        <v>5699</v>
      </c>
      <c r="K326">
        <f t="shared" si="5"/>
        <v>0.278713809440253</v>
      </c>
      <c r="L326" s="2">
        <v>306.5626681</v>
      </c>
      <c r="M326" s="2">
        <v>44.3</v>
      </c>
      <c r="N326" s="6">
        <v>31.1</v>
      </c>
      <c r="O326" s="6">
        <v>28.05</v>
      </c>
      <c r="P326" s="6">
        <v>1782.1</v>
      </c>
    </row>
    <row r="327" spans="1:16">
      <c r="A327" t="s">
        <v>32</v>
      </c>
      <c r="B327">
        <v>2008</v>
      </c>
      <c r="C327">
        <v>0.252417060939095</v>
      </c>
      <c r="D327" s="6">
        <v>20153</v>
      </c>
      <c r="E327" s="6">
        <v>4225.4</v>
      </c>
      <c r="F327" s="2">
        <v>0.440634920634921</v>
      </c>
      <c r="G327" s="2">
        <v>1.11719939117199</v>
      </c>
      <c r="H327" s="2">
        <v>0.03081606</v>
      </c>
      <c r="I327" s="6">
        <v>1828.44</v>
      </c>
      <c r="J327" s="6">
        <v>5711</v>
      </c>
      <c r="K327">
        <f t="shared" si="5"/>
        <v>0.320161092628261</v>
      </c>
      <c r="L327" s="2">
        <v>307.2081764</v>
      </c>
      <c r="M327" s="2">
        <v>45.2</v>
      </c>
      <c r="N327" s="6">
        <v>31.1</v>
      </c>
      <c r="O327" s="6">
        <v>40.92</v>
      </c>
      <c r="P327" s="6">
        <v>1812.3</v>
      </c>
    </row>
    <row r="328" spans="1:16">
      <c r="A328" t="s">
        <v>32</v>
      </c>
      <c r="B328">
        <v>2009</v>
      </c>
      <c r="C328">
        <v>0.250259468774909</v>
      </c>
      <c r="D328" s="6">
        <v>23081</v>
      </c>
      <c r="E328" s="6">
        <v>4456.3</v>
      </c>
      <c r="F328" s="2">
        <v>0.4575086604862</v>
      </c>
      <c r="G328" s="2">
        <v>1.03910673812357</v>
      </c>
      <c r="H328" s="2">
        <v>0.0310185</v>
      </c>
      <c r="I328" s="6">
        <v>1818.06</v>
      </c>
      <c r="J328" s="6">
        <v>5720</v>
      </c>
      <c r="K328">
        <f t="shared" si="5"/>
        <v>0.317842657342657</v>
      </c>
      <c r="L328" s="2">
        <v>307.6923077</v>
      </c>
      <c r="M328" s="2">
        <v>46</v>
      </c>
      <c r="N328" s="6">
        <v>38.4</v>
      </c>
      <c r="O328" s="6">
        <v>74.15</v>
      </c>
      <c r="P328" s="6">
        <v>1443.9</v>
      </c>
    </row>
    <row r="329" spans="1:16">
      <c r="A329" t="s">
        <v>32</v>
      </c>
      <c r="B329">
        <v>2010</v>
      </c>
      <c r="C329">
        <v>0.247340112432805</v>
      </c>
      <c r="D329" s="6">
        <v>28359</v>
      </c>
      <c r="E329" s="6">
        <v>5136.8</v>
      </c>
      <c r="F329" s="2">
        <v>0.477497242233575</v>
      </c>
      <c r="G329" s="2">
        <v>0.93287011074204</v>
      </c>
      <c r="H329" s="2">
        <v>0.03167805</v>
      </c>
      <c r="I329" s="6">
        <v>2043</v>
      </c>
      <c r="J329" s="6">
        <v>5728</v>
      </c>
      <c r="K329">
        <f t="shared" si="5"/>
        <v>0.356668994413408</v>
      </c>
      <c r="L329" s="2">
        <v>308.1178053</v>
      </c>
      <c r="M329" s="2">
        <v>49.7</v>
      </c>
      <c r="N329" s="6">
        <v>38.4</v>
      </c>
      <c r="O329" s="6">
        <v>96.31</v>
      </c>
      <c r="P329" s="6">
        <v>2216.5</v>
      </c>
    </row>
    <row r="330" spans="1:16">
      <c r="A330" t="s">
        <v>32</v>
      </c>
      <c r="B330">
        <v>2011</v>
      </c>
      <c r="C330">
        <v>0.216515719995747</v>
      </c>
      <c r="D330" s="6">
        <v>34719</v>
      </c>
      <c r="E330" s="6">
        <v>6242</v>
      </c>
      <c r="F330" s="2">
        <v>0.489712924658393</v>
      </c>
      <c r="G330" s="2">
        <v>0.831340102795537</v>
      </c>
      <c r="H330" s="2">
        <v>0.03085026</v>
      </c>
      <c r="I330" s="6">
        <v>2086.31</v>
      </c>
      <c r="J330" s="6">
        <v>5760</v>
      </c>
      <c r="K330">
        <f t="shared" si="5"/>
        <v>0.362206597222222</v>
      </c>
      <c r="L330" s="2">
        <v>309.8440022</v>
      </c>
      <c r="M330" s="2">
        <v>51.78</v>
      </c>
      <c r="N330" s="6">
        <v>38.4</v>
      </c>
      <c r="O330" s="6">
        <v>101.11</v>
      </c>
      <c r="P330" s="6">
        <v>1319.1</v>
      </c>
    </row>
    <row r="331" spans="1:16">
      <c r="A331" t="s">
        <v>32</v>
      </c>
      <c r="B331">
        <v>2012</v>
      </c>
      <c r="C331">
        <v>0.203137572653471</v>
      </c>
      <c r="D331" s="6">
        <v>39149</v>
      </c>
      <c r="E331" s="6">
        <v>7085.5</v>
      </c>
      <c r="F331" s="2">
        <v>0.493676657415154</v>
      </c>
      <c r="G331" s="2">
        <v>0.78237963073627</v>
      </c>
      <c r="H331" s="2">
        <v>0.03040544</v>
      </c>
      <c r="I331" s="6">
        <v>2174.1</v>
      </c>
      <c r="J331" s="6">
        <v>5781</v>
      </c>
      <c r="K331">
        <f t="shared" si="5"/>
        <v>0.376076803321225</v>
      </c>
      <c r="L331" s="2">
        <v>310.9736417</v>
      </c>
      <c r="M331" s="2">
        <v>53.23</v>
      </c>
      <c r="N331" s="6">
        <v>38.4</v>
      </c>
      <c r="O331" s="6">
        <v>95.63</v>
      </c>
      <c r="P331" s="6">
        <v>1411</v>
      </c>
    </row>
    <row r="332" spans="1:16">
      <c r="A332" t="s">
        <v>32</v>
      </c>
      <c r="B332">
        <v>2013</v>
      </c>
      <c r="C332">
        <v>0.211167040361137</v>
      </c>
      <c r="D332" s="6">
        <v>43835</v>
      </c>
      <c r="E332" s="6">
        <v>8053.8</v>
      </c>
      <c r="F332" s="2">
        <v>0.466794073607061</v>
      </c>
      <c r="G332" s="2">
        <v>0.618764284025534</v>
      </c>
      <c r="H332" s="2">
        <v>0.0305063</v>
      </c>
      <c r="I332" s="6">
        <v>2237.26</v>
      </c>
      <c r="J332" s="6">
        <v>5798</v>
      </c>
      <c r="K332">
        <f t="shared" si="5"/>
        <v>0.385867540531218</v>
      </c>
      <c r="L332" s="2">
        <v>311.8881119</v>
      </c>
      <c r="M332" s="2">
        <v>54.51</v>
      </c>
      <c r="N332" s="6">
        <v>38.4</v>
      </c>
      <c r="O332" s="6">
        <v>109.72</v>
      </c>
      <c r="P332" s="6">
        <v>1364.9</v>
      </c>
    </row>
    <row r="333" spans="1:16">
      <c r="A333" t="s">
        <v>32</v>
      </c>
      <c r="B333">
        <v>2014</v>
      </c>
      <c r="C333">
        <v>0.210578834593055</v>
      </c>
      <c r="D333" s="6">
        <v>48635</v>
      </c>
      <c r="E333" s="6">
        <v>9124.5</v>
      </c>
      <c r="F333" s="2">
        <v>0.460585438051703</v>
      </c>
      <c r="G333" s="2">
        <v>0.577869917605277</v>
      </c>
      <c r="H333" s="2">
        <v>0.02977423</v>
      </c>
      <c r="I333" s="6">
        <v>2382.31</v>
      </c>
      <c r="J333" s="6">
        <v>5816</v>
      </c>
      <c r="K333">
        <f t="shared" si="5"/>
        <v>0.409613136176066</v>
      </c>
      <c r="L333" s="2">
        <v>312.8563744</v>
      </c>
      <c r="M333" s="2">
        <v>55.73</v>
      </c>
      <c r="N333" s="6">
        <v>39.6</v>
      </c>
      <c r="O333" s="6">
        <v>103.78</v>
      </c>
      <c r="P333" s="6">
        <v>1574.3</v>
      </c>
    </row>
    <row r="334" spans="1:16">
      <c r="A334" t="s">
        <v>32</v>
      </c>
      <c r="B334">
        <v>2015</v>
      </c>
      <c r="C334">
        <v>0.221309737103178</v>
      </c>
      <c r="D334" s="6">
        <v>52021</v>
      </c>
      <c r="E334" s="6">
        <v>10167.9</v>
      </c>
      <c r="F334" s="2">
        <v>0.44718890060638</v>
      </c>
      <c r="G334" s="2">
        <v>0.510051410493013</v>
      </c>
      <c r="H334" s="2">
        <v>0.02924767</v>
      </c>
      <c r="I334" s="6">
        <v>2341</v>
      </c>
      <c r="J334" s="6">
        <v>5850</v>
      </c>
      <c r="K334">
        <f t="shared" si="5"/>
        <v>0.40017094017094</v>
      </c>
      <c r="L334" s="2">
        <v>314.6853147</v>
      </c>
      <c r="M334" s="2">
        <v>57.18</v>
      </c>
      <c r="N334" s="6">
        <v>39.6</v>
      </c>
      <c r="O334" s="6">
        <v>145.84</v>
      </c>
      <c r="P334" s="6">
        <v>1740.9</v>
      </c>
    </row>
    <row r="335" spans="1:16">
      <c r="A335" t="s">
        <v>32</v>
      </c>
      <c r="B335">
        <v>2016</v>
      </c>
      <c r="C335">
        <v>0.197891772378006</v>
      </c>
      <c r="D335" s="6">
        <v>56844</v>
      </c>
      <c r="E335" s="6">
        <v>11379.2</v>
      </c>
      <c r="F335" s="2">
        <v>0.435553023716008</v>
      </c>
      <c r="G335" s="2">
        <v>0.476628789014481</v>
      </c>
      <c r="H335" s="2">
        <v>0.02950955</v>
      </c>
      <c r="I335" s="6">
        <v>2479.02</v>
      </c>
      <c r="J335" s="6">
        <v>5885</v>
      </c>
      <c r="K335">
        <f t="shared" si="5"/>
        <v>0.421243840271878</v>
      </c>
      <c r="L335" s="2">
        <v>316.5680473</v>
      </c>
      <c r="M335" s="2">
        <v>58.57</v>
      </c>
      <c r="N335" s="6">
        <v>39.6</v>
      </c>
      <c r="O335" s="6">
        <v>145.64</v>
      </c>
      <c r="P335" s="6">
        <v>2552.6</v>
      </c>
    </row>
    <row r="336" spans="1:16">
      <c r="A336" t="s">
        <v>32</v>
      </c>
      <c r="B336">
        <v>2017</v>
      </c>
      <c r="C336">
        <v>0.188159574930563</v>
      </c>
      <c r="D336" s="6">
        <v>63169</v>
      </c>
      <c r="E336" s="6">
        <v>12754.5</v>
      </c>
      <c r="F336" s="2">
        <v>0.422019605210152</v>
      </c>
      <c r="G336" s="2">
        <v>0.434537397609776</v>
      </c>
      <c r="H336" s="2">
        <v>0.0296306</v>
      </c>
      <c r="I336" s="6">
        <v>2615.46</v>
      </c>
      <c r="J336" s="6">
        <v>5904</v>
      </c>
      <c r="K336">
        <f t="shared" si="5"/>
        <v>0.442997967479675</v>
      </c>
      <c r="L336" s="2">
        <v>317.5901022</v>
      </c>
      <c r="M336" s="2">
        <v>59.88</v>
      </c>
      <c r="N336" s="6">
        <v>39.6</v>
      </c>
      <c r="O336" s="6">
        <v>139.71</v>
      </c>
      <c r="P336" s="6">
        <v>2118.9</v>
      </c>
    </row>
    <row r="337" spans="1:16">
      <c r="A337" t="s">
        <v>32</v>
      </c>
      <c r="B337">
        <v>2018</v>
      </c>
      <c r="C337">
        <v>0.156456523528853</v>
      </c>
      <c r="D337" s="6">
        <v>71097</v>
      </c>
      <c r="E337" s="6">
        <v>14208.5</v>
      </c>
      <c r="F337" s="2">
        <v>0.418207129598782</v>
      </c>
      <c r="G337" s="2">
        <v>0.396982532958926</v>
      </c>
      <c r="H337" s="2">
        <v>0.03001991</v>
      </c>
      <c r="I337" s="6">
        <v>2835.82</v>
      </c>
      <c r="J337" s="6">
        <v>5917</v>
      </c>
      <c r="K337">
        <f t="shared" si="5"/>
        <v>0.479266520196045</v>
      </c>
      <c r="L337" s="2">
        <v>318.2894029</v>
      </c>
      <c r="M337" s="2">
        <v>61</v>
      </c>
      <c r="N337" s="6">
        <v>39.6</v>
      </c>
      <c r="O337" s="6">
        <v>211.3</v>
      </c>
      <c r="P337" s="6">
        <v>1450.2</v>
      </c>
    </row>
    <row r="338" spans="1:16">
      <c r="A338" t="s">
        <v>32</v>
      </c>
      <c r="B338">
        <v>2019</v>
      </c>
      <c r="C338">
        <v>0.15290227867989</v>
      </c>
      <c r="D338" s="6">
        <v>76712</v>
      </c>
      <c r="E338" s="6">
        <v>15739.3</v>
      </c>
      <c r="F338" s="2">
        <v>0.412137621343195</v>
      </c>
      <c r="G338" s="2">
        <v>0.381166215413062</v>
      </c>
      <c r="H338" s="2">
        <v>0.03054896</v>
      </c>
      <c r="I338" s="6">
        <v>2957.5</v>
      </c>
      <c r="J338" s="6">
        <v>5927</v>
      </c>
      <c r="K338">
        <f t="shared" si="5"/>
        <v>0.498987683482369</v>
      </c>
      <c r="L338" s="2">
        <v>318.8273265</v>
      </c>
      <c r="M338" s="2">
        <v>61.83</v>
      </c>
      <c r="N338" s="6">
        <v>39.6</v>
      </c>
      <c r="O338" s="6">
        <v>282.13</v>
      </c>
      <c r="P338" s="6">
        <v>1036.3</v>
      </c>
    </row>
    <row r="339" spans="1:16">
      <c r="A339" t="s">
        <v>32</v>
      </c>
      <c r="B339">
        <v>2020</v>
      </c>
      <c r="C339">
        <v>0.154218871446355</v>
      </c>
      <c r="D339" s="6">
        <v>73687</v>
      </c>
      <c r="E339" s="6">
        <v>17342.1</v>
      </c>
      <c r="F339" s="2">
        <v>0.370514713576486</v>
      </c>
      <c r="G339" s="2">
        <v>0.377901382413468</v>
      </c>
      <c r="H339" s="2">
        <v>0.0285448</v>
      </c>
      <c r="I339" s="6">
        <v>3015.84</v>
      </c>
      <c r="J339" s="6">
        <v>5745</v>
      </c>
      <c r="K339">
        <f t="shared" si="5"/>
        <v>0.524950391644909</v>
      </c>
      <c r="L339" s="2">
        <v>309.027972</v>
      </c>
      <c r="M339" s="2">
        <v>62.89</v>
      </c>
      <c r="N339" s="6">
        <v>39.6</v>
      </c>
      <c r="O339" s="6">
        <v>219.18</v>
      </c>
      <c r="P339" s="6">
        <v>3006.7</v>
      </c>
    </row>
    <row r="340" spans="1:16">
      <c r="A340" t="s">
        <v>32</v>
      </c>
      <c r="B340">
        <v>2021</v>
      </c>
      <c r="C340">
        <v>0.138658014978728</v>
      </c>
      <c r="D340" s="6">
        <v>86551</v>
      </c>
      <c r="E340" s="6">
        <v>19011.4</v>
      </c>
      <c r="F340" s="2">
        <v>0.385938048998626</v>
      </c>
      <c r="G340" s="2">
        <v>0.363169505083424</v>
      </c>
      <c r="H340" s="2">
        <v>0.02973691</v>
      </c>
      <c r="I340" s="6">
        <v>3292.37</v>
      </c>
      <c r="J340" s="6">
        <v>5830</v>
      </c>
      <c r="K340">
        <f t="shared" si="5"/>
        <v>0.564728987993139</v>
      </c>
      <c r="L340" s="2">
        <v>313.6089295</v>
      </c>
      <c r="M340" s="2">
        <v>64.09</v>
      </c>
      <c r="N340" s="6">
        <v>39.6</v>
      </c>
      <c r="O340" s="6">
        <v>167.1</v>
      </c>
      <c r="P340" s="6">
        <v>2054.1</v>
      </c>
    </row>
    <row r="341" spans="1:16">
      <c r="A341" t="s">
        <v>32</v>
      </c>
      <c r="B341">
        <v>2022</v>
      </c>
      <c r="C341">
        <v>0.131093302565262</v>
      </c>
      <c r="D341" s="6">
        <v>90358</v>
      </c>
      <c r="E341" s="6">
        <v>20741.7</v>
      </c>
      <c r="F341" s="2">
        <v>0.395285000995629</v>
      </c>
      <c r="G341" s="2">
        <v>0.346646220612674</v>
      </c>
      <c r="H341" s="2">
        <v>0.036558334</v>
      </c>
      <c r="I341" s="6">
        <v>3249.2</v>
      </c>
      <c r="J341" s="6">
        <v>5844</v>
      </c>
      <c r="K341">
        <f t="shared" si="5"/>
        <v>0.555989048596851</v>
      </c>
      <c r="L341" s="2">
        <v>314.3625605</v>
      </c>
      <c r="M341" s="2">
        <v>51.172</v>
      </c>
      <c r="N341" s="6">
        <v>39.6</v>
      </c>
      <c r="O341" s="6">
        <v>169.22</v>
      </c>
      <c r="P341" s="6">
        <v>1223.6</v>
      </c>
    </row>
    <row r="342" spans="1:16">
      <c r="A342" t="s">
        <v>33</v>
      </c>
      <c r="B342">
        <v>2003</v>
      </c>
      <c r="C342">
        <v>0.437191081320683</v>
      </c>
      <c r="D342" s="6">
        <v>7589</v>
      </c>
      <c r="E342" s="6">
        <v>2290</v>
      </c>
      <c r="F342" s="2">
        <v>0.380321888412017</v>
      </c>
      <c r="G342" s="2">
        <v>1.35139484978541</v>
      </c>
      <c r="H342" s="2">
        <v>0.02890386</v>
      </c>
      <c r="I342" s="6">
        <v>537.76</v>
      </c>
      <c r="J342" s="6">
        <v>6663</v>
      </c>
      <c r="K342">
        <f t="shared" si="5"/>
        <v>0.0807083896142879</v>
      </c>
      <c r="L342" s="2">
        <v>314.5797923</v>
      </c>
      <c r="M342" s="2">
        <v>33.5</v>
      </c>
      <c r="N342" s="6">
        <v>44.8</v>
      </c>
      <c r="O342" s="6">
        <v>26.48</v>
      </c>
      <c r="P342" s="6">
        <v>2574.7</v>
      </c>
    </row>
    <row r="343" spans="1:16">
      <c r="A343" t="s">
        <v>33</v>
      </c>
      <c r="B343">
        <v>2004</v>
      </c>
      <c r="C343">
        <v>0.412588224082894</v>
      </c>
      <c r="D343" s="6">
        <v>9004</v>
      </c>
      <c r="E343" s="6">
        <v>2680.6</v>
      </c>
      <c r="F343" s="2">
        <v>0.385306534839245</v>
      </c>
      <c r="G343" s="2">
        <v>1.37105329628694</v>
      </c>
      <c r="H343" s="2">
        <v>0.02835506</v>
      </c>
      <c r="I343" s="6">
        <v>651.11</v>
      </c>
      <c r="J343" s="6">
        <v>6698</v>
      </c>
      <c r="K343">
        <f t="shared" si="5"/>
        <v>0.0972096148103912</v>
      </c>
      <c r="L343" s="2">
        <v>316.2417375</v>
      </c>
      <c r="M343" s="2">
        <v>35.5</v>
      </c>
      <c r="N343" s="6">
        <v>44.8</v>
      </c>
      <c r="O343" s="6">
        <v>26.5</v>
      </c>
      <c r="P343" s="6">
        <v>2450.4</v>
      </c>
    </row>
    <row r="344" spans="1:16">
      <c r="A344" t="s">
        <v>33</v>
      </c>
      <c r="B344">
        <v>2005</v>
      </c>
      <c r="C344">
        <v>0.382345115148177</v>
      </c>
      <c r="D344" s="6">
        <v>10200</v>
      </c>
      <c r="E344" s="6">
        <v>3092.3</v>
      </c>
      <c r="F344" s="2">
        <v>0.390932353726118</v>
      </c>
      <c r="G344" s="2">
        <v>1.43017943766778</v>
      </c>
      <c r="H344" s="2">
        <v>0.02724137</v>
      </c>
      <c r="I344" s="6">
        <v>644.41</v>
      </c>
      <c r="J344" s="6">
        <v>6326</v>
      </c>
      <c r="K344">
        <f t="shared" si="5"/>
        <v>0.101866898514069</v>
      </c>
      <c r="L344" s="2">
        <v>298.6779981</v>
      </c>
      <c r="M344" s="2">
        <v>37</v>
      </c>
      <c r="N344" s="6">
        <v>44.8</v>
      </c>
      <c r="O344" s="6">
        <v>26.58</v>
      </c>
      <c r="P344" s="6">
        <v>2649.5</v>
      </c>
    </row>
    <row r="345" spans="1:16">
      <c r="A345" t="s">
        <v>33</v>
      </c>
      <c r="B345">
        <v>2006</v>
      </c>
      <c r="C345">
        <v>0.377442861683974</v>
      </c>
      <c r="D345" s="6">
        <v>11733</v>
      </c>
      <c r="E345" s="6">
        <v>3488.6</v>
      </c>
      <c r="F345" s="2">
        <v>0.407812584100328</v>
      </c>
      <c r="G345" s="2">
        <v>1.32934765057323</v>
      </c>
      <c r="H345" s="2">
        <v>0.02711262</v>
      </c>
      <c r="I345" s="6">
        <v>754.9</v>
      </c>
      <c r="J345" s="6">
        <v>6342</v>
      </c>
      <c r="K345">
        <f t="shared" si="5"/>
        <v>0.119031851151056</v>
      </c>
      <c r="L345" s="2">
        <v>299.4334278</v>
      </c>
      <c r="M345" s="2">
        <v>38.71</v>
      </c>
      <c r="N345" s="6">
        <v>44.8</v>
      </c>
      <c r="O345" s="6">
        <v>27.07</v>
      </c>
      <c r="P345" s="6">
        <v>2794.9</v>
      </c>
    </row>
    <row r="346" spans="1:16">
      <c r="A346" t="s">
        <v>33</v>
      </c>
      <c r="B346">
        <v>2007</v>
      </c>
      <c r="C346">
        <v>0.331902692459155</v>
      </c>
      <c r="D346" s="6">
        <v>14626</v>
      </c>
      <c r="E346" s="6">
        <v>3970.5</v>
      </c>
      <c r="F346" s="2">
        <v>0.416498842280976</v>
      </c>
      <c r="G346" s="2">
        <v>1.16272790910559</v>
      </c>
      <c r="H346" s="2">
        <v>0.02735996</v>
      </c>
      <c r="I346" s="6">
        <v>860.15</v>
      </c>
      <c r="J346" s="6">
        <v>6355</v>
      </c>
      <c r="K346">
        <f t="shared" si="5"/>
        <v>0.135350118017309</v>
      </c>
      <c r="L346" s="2">
        <v>300.0472144</v>
      </c>
      <c r="M346" s="2">
        <v>40.45</v>
      </c>
      <c r="N346" s="6">
        <v>44.8</v>
      </c>
      <c r="O346" s="6">
        <v>29.84</v>
      </c>
      <c r="P346" s="6">
        <v>2247.1</v>
      </c>
    </row>
    <row r="347" spans="1:16">
      <c r="A347" t="s">
        <v>33</v>
      </c>
      <c r="B347">
        <v>2008</v>
      </c>
      <c r="C347">
        <v>0.327863126097836</v>
      </c>
      <c r="D347" s="6">
        <v>17758</v>
      </c>
      <c r="E347" s="6">
        <v>4554.1</v>
      </c>
      <c r="F347" s="2">
        <v>0.430691405628173</v>
      </c>
      <c r="G347" s="2">
        <v>1.09264729292322</v>
      </c>
      <c r="H347" s="2">
        <v>0.02634514</v>
      </c>
      <c r="I347" s="6">
        <v>927.25</v>
      </c>
      <c r="J347" s="6">
        <v>6380</v>
      </c>
      <c r="K347">
        <f t="shared" si="5"/>
        <v>0.145336990595611</v>
      </c>
      <c r="L347" s="2">
        <v>301.2275732</v>
      </c>
      <c r="M347" s="2">
        <v>42.15</v>
      </c>
      <c r="N347" s="6">
        <v>44.8</v>
      </c>
      <c r="O347" s="6">
        <v>41.71</v>
      </c>
      <c r="P347" s="6">
        <v>2512.8</v>
      </c>
    </row>
    <row r="348" spans="1:16">
      <c r="A348" t="s">
        <v>33</v>
      </c>
      <c r="B348">
        <v>2009</v>
      </c>
      <c r="C348">
        <v>0.31814765066791</v>
      </c>
      <c r="D348" s="6">
        <v>19979</v>
      </c>
      <c r="E348" s="6">
        <v>5069.1</v>
      </c>
      <c r="F348" s="2">
        <v>0.430187586120506</v>
      </c>
      <c r="G348" s="2">
        <v>1.04370224226481</v>
      </c>
      <c r="H348" s="2">
        <v>0.02761486</v>
      </c>
      <c r="I348" s="6">
        <v>1027.95</v>
      </c>
      <c r="J348" s="6">
        <v>6406</v>
      </c>
      <c r="K348">
        <f t="shared" si="5"/>
        <v>0.160466749921948</v>
      </c>
      <c r="L348" s="2">
        <v>302.4551464</v>
      </c>
      <c r="M348" s="2">
        <v>43.2</v>
      </c>
      <c r="N348" s="6">
        <v>47.8</v>
      </c>
      <c r="O348" s="6">
        <v>73.63</v>
      </c>
      <c r="P348" s="6">
        <v>2190.6</v>
      </c>
    </row>
    <row r="349" spans="1:16">
      <c r="A349" t="s">
        <v>33</v>
      </c>
      <c r="B349">
        <v>2010</v>
      </c>
      <c r="C349">
        <v>0.309294771465564</v>
      </c>
      <c r="D349" s="6">
        <v>24005</v>
      </c>
      <c r="E349" s="6">
        <v>5788.9</v>
      </c>
      <c r="F349" s="2">
        <v>0.451686432134992</v>
      </c>
      <c r="G349" s="2">
        <v>0.955423999794533</v>
      </c>
      <c r="H349" s="2">
        <v>0.02790342</v>
      </c>
      <c r="I349" s="6">
        <v>1226.28</v>
      </c>
      <c r="J349" s="6">
        <v>6570</v>
      </c>
      <c r="K349">
        <f t="shared" si="5"/>
        <v>0.186648401826484</v>
      </c>
      <c r="L349" s="2">
        <v>310.2020774</v>
      </c>
      <c r="M349" s="2">
        <v>43.3</v>
      </c>
      <c r="N349" s="6">
        <v>47.8</v>
      </c>
      <c r="O349" s="6">
        <v>90.82</v>
      </c>
      <c r="P349" s="6">
        <v>2938.7</v>
      </c>
    </row>
    <row r="350" spans="1:16">
      <c r="A350" t="s">
        <v>33</v>
      </c>
      <c r="B350">
        <v>2011</v>
      </c>
      <c r="C350">
        <v>0.262986428538751</v>
      </c>
      <c r="D350" s="6">
        <v>28766</v>
      </c>
      <c r="E350" s="6">
        <v>6942.9</v>
      </c>
      <c r="F350" s="2">
        <v>0.469659000793021</v>
      </c>
      <c r="G350" s="2">
        <v>0.854401268834258</v>
      </c>
      <c r="H350" s="2">
        <v>0.02750478</v>
      </c>
      <c r="I350" s="6">
        <v>1346.6</v>
      </c>
      <c r="J350" s="6">
        <v>6581</v>
      </c>
      <c r="K350">
        <f t="shared" si="5"/>
        <v>0.204619358760067</v>
      </c>
      <c r="L350" s="2">
        <v>310.7176582</v>
      </c>
      <c r="M350" s="2">
        <v>44.97</v>
      </c>
      <c r="N350" s="6">
        <v>47.8</v>
      </c>
      <c r="O350" s="6">
        <v>85.26</v>
      </c>
      <c r="P350" s="6">
        <v>1711.9</v>
      </c>
    </row>
    <row r="351" spans="1:16">
      <c r="A351" t="s">
        <v>33</v>
      </c>
      <c r="B351">
        <v>2012</v>
      </c>
      <c r="C351">
        <v>0.238812252423518</v>
      </c>
      <c r="D351" s="6">
        <v>32203</v>
      </c>
      <c r="E351" s="6">
        <v>7768.4</v>
      </c>
      <c r="F351" s="2">
        <v>0.468081594930024</v>
      </c>
      <c r="G351" s="2">
        <v>0.789546946320118</v>
      </c>
      <c r="H351" s="2">
        <v>0.02712612</v>
      </c>
      <c r="I351" s="6">
        <v>1260.1</v>
      </c>
      <c r="J351" s="6">
        <v>6590</v>
      </c>
      <c r="K351">
        <f t="shared" si="5"/>
        <v>0.191213960546282</v>
      </c>
      <c r="L351" s="2">
        <v>311.1425873</v>
      </c>
      <c r="M351" s="2">
        <v>46.22</v>
      </c>
      <c r="N351" s="6">
        <v>47.8</v>
      </c>
      <c r="O351" s="6">
        <v>109.43</v>
      </c>
      <c r="P351" s="6">
        <v>3005.7</v>
      </c>
    </row>
    <row r="352" spans="1:16">
      <c r="A352" t="s">
        <v>33</v>
      </c>
      <c r="B352">
        <v>2013</v>
      </c>
      <c r="C352">
        <v>0.234610385735478</v>
      </c>
      <c r="D352" s="6">
        <v>35702</v>
      </c>
      <c r="E352" s="6">
        <v>8610.7</v>
      </c>
      <c r="F352" s="2">
        <v>0.463525474406673</v>
      </c>
      <c r="G352" s="2">
        <v>0.633632332704755</v>
      </c>
      <c r="H352" s="2">
        <v>0.02663796</v>
      </c>
      <c r="I352" s="6">
        <v>1355.53</v>
      </c>
      <c r="J352" s="6">
        <v>6600</v>
      </c>
      <c r="K352">
        <f t="shared" si="5"/>
        <v>0.205383333333333</v>
      </c>
      <c r="L352" s="2">
        <v>311.6147309</v>
      </c>
      <c r="M352" s="2">
        <v>47.63</v>
      </c>
      <c r="N352" s="6">
        <v>47.8</v>
      </c>
      <c r="O352" s="6">
        <v>128.67</v>
      </c>
      <c r="P352" s="6">
        <v>2373.6</v>
      </c>
    </row>
    <row r="353" spans="1:16">
      <c r="A353" t="s">
        <v>33</v>
      </c>
      <c r="B353">
        <v>2014</v>
      </c>
      <c r="C353">
        <v>0.233317689764682</v>
      </c>
      <c r="D353" s="6">
        <v>39181</v>
      </c>
      <c r="E353" s="6">
        <v>9657.1</v>
      </c>
      <c r="F353" s="2">
        <v>0.456897451055395</v>
      </c>
      <c r="G353" s="2">
        <v>0.59181107595059</v>
      </c>
      <c r="H353" s="2">
        <v>0.02571828</v>
      </c>
      <c r="I353" s="6">
        <v>1313.7</v>
      </c>
      <c r="J353" s="6">
        <v>6611</v>
      </c>
      <c r="K353">
        <f t="shared" si="5"/>
        <v>0.198714264105279</v>
      </c>
      <c r="L353" s="2">
        <v>312.1340888</v>
      </c>
      <c r="M353" s="2">
        <v>48.98</v>
      </c>
      <c r="N353" s="6">
        <v>49.7</v>
      </c>
      <c r="O353" s="6">
        <v>137.49</v>
      </c>
      <c r="P353" s="6">
        <v>2680.1</v>
      </c>
    </row>
    <row r="354" spans="1:16">
      <c r="A354" t="s">
        <v>33</v>
      </c>
      <c r="B354">
        <v>2015</v>
      </c>
      <c r="C354">
        <v>0.229797255976569</v>
      </c>
      <c r="D354" s="6">
        <v>43155</v>
      </c>
      <c r="E354" s="6">
        <v>11011.5</v>
      </c>
      <c r="F354" s="2">
        <v>0.443809437043163</v>
      </c>
      <c r="G354" s="2">
        <v>0.508574351930368</v>
      </c>
      <c r="H354" s="2">
        <v>0.02542685</v>
      </c>
      <c r="I354" s="6">
        <v>1314</v>
      </c>
      <c r="J354" s="6">
        <v>6615</v>
      </c>
      <c r="K354">
        <f t="shared" si="5"/>
        <v>0.198639455782313</v>
      </c>
      <c r="L354" s="2">
        <v>312.3229462</v>
      </c>
      <c r="M354" s="2">
        <v>50.79</v>
      </c>
      <c r="N354" s="6">
        <v>49.7</v>
      </c>
      <c r="O354" s="6">
        <v>149</v>
      </c>
      <c r="P354" s="6">
        <v>2839.1</v>
      </c>
    </row>
    <row r="355" spans="1:16">
      <c r="A355" t="s">
        <v>33</v>
      </c>
      <c r="B355">
        <v>2016</v>
      </c>
      <c r="C355">
        <v>0.218180484199829</v>
      </c>
      <c r="D355" s="6">
        <v>46606</v>
      </c>
      <c r="E355" s="6">
        <v>11897.7</v>
      </c>
      <c r="F355" s="2">
        <v>0.419466186980407</v>
      </c>
      <c r="G355" s="2">
        <v>0.481144764775471</v>
      </c>
      <c r="H355" s="2">
        <v>0.02503304</v>
      </c>
      <c r="I355" s="6">
        <v>1385.09</v>
      </c>
      <c r="J355" s="6">
        <v>6625</v>
      </c>
      <c r="K355">
        <f t="shared" si="5"/>
        <v>0.209070188679245</v>
      </c>
      <c r="L355" s="2">
        <v>312.7950897</v>
      </c>
      <c r="M355" s="2">
        <v>52.7</v>
      </c>
      <c r="N355" s="6">
        <v>49.7</v>
      </c>
      <c r="O355" s="6">
        <v>170.85</v>
      </c>
      <c r="P355" s="6">
        <v>3229.1</v>
      </c>
    </row>
    <row r="356" spans="1:16">
      <c r="A356" t="s">
        <v>33</v>
      </c>
      <c r="B356">
        <v>2017</v>
      </c>
      <c r="C356">
        <v>0.217234928327716</v>
      </c>
      <c r="D356" s="6">
        <v>51030</v>
      </c>
      <c r="E356" s="6">
        <v>13283.9</v>
      </c>
      <c r="F356" s="2">
        <v>0.397888146245281</v>
      </c>
      <c r="G356" s="2">
        <v>0.449330586110364</v>
      </c>
      <c r="H356" s="2">
        <v>0.02507292</v>
      </c>
      <c r="I356" s="6">
        <v>1434.67</v>
      </c>
      <c r="J356" s="6">
        <v>6633</v>
      </c>
      <c r="K356">
        <f t="shared" si="5"/>
        <v>0.216292778531585</v>
      </c>
      <c r="L356" s="2">
        <v>313.1728045</v>
      </c>
      <c r="M356" s="2">
        <v>54.62</v>
      </c>
      <c r="N356" s="6">
        <v>49.7</v>
      </c>
      <c r="O356" s="6">
        <v>173.28</v>
      </c>
      <c r="P356" s="6">
        <v>2795.5</v>
      </c>
    </row>
    <row r="357" spans="1:16">
      <c r="A357" t="s">
        <v>33</v>
      </c>
      <c r="B357">
        <v>2018</v>
      </c>
      <c r="C357">
        <v>0.210889834837802</v>
      </c>
      <c r="D357" s="6">
        <v>54763</v>
      </c>
      <c r="E357" s="6">
        <v>14766.2</v>
      </c>
      <c r="F357" s="2">
        <v>0.382719923368484</v>
      </c>
      <c r="G357" s="2">
        <v>0.427859299691437</v>
      </c>
      <c r="H357" s="2">
        <v>0.02529269</v>
      </c>
      <c r="I357" s="6">
        <v>1532.73</v>
      </c>
      <c r="J357" s="6">
        <v>6635</v>
      </c>
      <c r="K357">
        <f t="shared" si="5"/>
        <v>0.231006782215524</v>
      </c>
      <c r="L357" s="2">
        <v>313.2672332</v>
      </c>
      <c r="M357" s="2">
        <v>56.09</v>
      </c>
      <c r="N357" s="6">
        <v>49.7</v>
      </c>
      <c r="O357" s="6">
        <v>190.89</v>
      </c>
      <c r="P357" s="6">
        <v>1952</v>
      </c>
    </row>
    <row r="358" spans="1:16">
      <c r="A358" t="s">
        <v>33</v>
      </c>
      <c r="B358">
        <v>2019</v>
      </c>
      <c r="C358">
        <v>0.186700297125352</v>
      </c>
      <c r="D358" s="6">
        <v>60104</v>
      </c>
      <c r="E358" s="6">
        <v>16280.3</v>
      </c>
      <c r="F358" s="2">
        <v>0.386064606044503</v>
      </c>
      <c r="G358" s="2">
        <v>0.401086877508203</v>
      </c>
      <c r="H358" s="2">
        <v>0.02572055</v>
      </c>
      <c r="I358" s="6">
        <v>1559.42</v>
      </c>
      <c r="J358" s="6">
        <v>6640</v>
      </c>
      <c r="K358">
        <f t="shared" si="5"/>
        <v>0.234852409638554</v>
      </c>
      <c r="L358" s="2">
        <v>313.503305</v>
      </c>
      <c r="M358" s="2">
        <v>57.45</v>
      </c>
      <c r="N358" s="6">
        <v>49.7</v>
      </c>
      <c r="O358" s="6">
        <v>242.68</v>
      </c>
      <c r="P358" s="6">
        <v>3037.3</v>
      </c>
    </row>
    <row r="359" spans="1:16">
      <c r="A359" t="s">
        <v>33</v>
      </c>
      <c r="B359">
        <v>2020</v>
      </c>
      <c r="C359">
        <v>0.159699840929558</v>
      </c>
      <c r="D359" s="6">
        <v>62537</v>
      </c>
      <c r="E359" s="6">
        <v>17814.6</v>
      </c>
      <c r="F359" s="2">
        <v>0.383923972019084</v>
      </c>
      <c r="G359" s="2">
        <v>0.391757306957196</v>
      </c>
      <c r="H359" s="2">
        <v>0.02568233</v>
      </c>
      <c r="I359" s="6">
        <v>1554.43</v>
      </c>
      <c r="J359" s="6">
        <v>6645</v>
      </c>
      <c r="K359">
        <f t="shared" si="5"/>
        <v>0.23392475545523</v>
      </c>
      <c r="L359" s="2">
        <v>313.7535411</v>
      </c>
      <c r="M359" s="2">
        <v>58.76</v>
      </c>
      <c r="N359" s="6">
        <v>49.7</v>
      </c>
      <c r="O359" s="6">
        <v>245.58</v>
      </c>
      <c r="P359" s="6">
        <v>3189.9</v>
      </c>
    </row>
    <row r="360" spans="1:16">
      <c r="A360" t="s">
        <v>33</v>
      </c>
      <c r="B360">
        <v>2021</v>
      </c>
      <c r="C360">
        <v>0.149735458393633</v>
      </c>
      <c r="D360" s="6">
        <v>68913</v>
      </c>
      <c r="E360" s="6">
        <v>19358.2</v>
      </c>
      <c r="F360" s="2">
        <v>0.390530149736949</v>
      </c>
      <c r="G360" s="2">
        <v>0.369897889395911</v>
      </c>
      <c r="H360" s="2">
        <v>0.02592356</v>
      </c>
      <c r="I360" s="6">
        <v>1741.86</v>
      </c>
      <c r="J360" s="6">
        <v>6622</v>
      </c>
      <c r="K360">
        <f t="shared" si="5"/>
        <v>0.263041377227424</v>
      </c>
      <c r="L360" s="2">
        <v>312.6534466</v>
      </c>
      <c r="M360" s="2">
        <v>59.71</v>
      </c>
      <c r="N360" s="6">
        <v>49.7</v>
      </c>
      <c r="O360" s="6">
        <v>194.62</v>
      </c>
      <c r="P360" s="6">
        <v>2699.3</v>
      </c>
    </row>
    <row r="361" spans="1:16">
      <c r="A361" t="s">
        <v>33</v>
      </c>
      <c r="B361">
        <v>2022</v>
      </c>
      <c r="C361">
        <v>0.14663056738375</v>
      </c>
      <c r="D361" s="6">
        <v>71917</v>
      </c>
      <c r="E361" s="6">
        <v>20900.9</v>
      </c>
      <c r="F361" s="2">
        <v>0.394132778855321</v>
      </c>
      <c r="G361" s="2">
        <v>0.349857253218965</v>
      </c>
      <c r="H361" s="2">
        <v>0.041615632</v>
      </c>
      <c r="I361" s="6">
        <v>1769.67</v>
      </c>
      <c r="J361" s="6">
        <v>6604</v>
      </c>
      <c r="K361">
        <f t="shared" si="5"/>
        <v>0.267969412477287</v>
      </c>
      <c r="L361" s="2">
        <v>311.8035883</v>
      </c>
      <c r="M361" s="2">
        <v>47.54</v>
      </c>
      <c r="N361" s="6">
        <v>49.7</v>
      </c>
      <c r="O361" s="6">
        <v>166.55</v>
      </c>
      <c r="P361" s="6">
        <v>2546.2</v>
      </c>
    </row>
    <row r="362" spans="1:16">
      <c r="A362" t="s">
        <v>34</v>
      </c>
      <c r="B362">
        <v>2003</v>
      </c>
      <c r="C362">
        <v>0.24221345703946</v>
      </c>
      <c r="D362" s="6">
        <v>17950</v>
      </c>
      <c r="E362" s="6">
        <v>6537.5</v>
      </c>
      <c r="F362" s="2">
        <v>0.480882113668506</v>
      </c>
      <c r="G362" s="2">
        <v>0.819740547441145</v>
      </c>
      <c r="H362" s="2">
        <v>0.10756484</v>
      </c>
      <c r="I362" s="6">
        <v>1882.68</v>
      </c>
      <c r="J362" s="6">
        <v>8963</v>
      </c>
      <c r="K362">
        <f t="shared" si="5"/>
        <v>0.210050206404106</v>
      </c>
      <c r="L362" s="2">
        <v>498.4810901</v>
      </c>
      <c r="M362" s="2">
        <v>19.85</v>
      </c>
      <c r="N362" s="6">
        <v>49.4</v>
      </c>
      <c r="O362" s="6">
        <v>8.4</v>
      </c>
      <c r="P362" s="6">
        <v>1828.3</v>
      </c>
    </row>
    <row r="363" spans="1:16">
      <c r="A363" t="s">
        <v>34</v>
      </c>
      <c r="B363">
        <v>2004</v>
      </c>
      <c r="C363">
        <v>0.221002545822504</v>
      </c>
      <c r="D363" s="6">
        <v>20647</v>
      </c>
      <c r="E363" s="6">
        <v>7953.6</v>
      </c>
      <c r="F363" s="2">
        <v>0.492633305285047</v>
      </c>
      <c r="G363" s="2">
        <v>0.815211996805711</v>
      </c>
      <c r="H363" s="2">
        <v>0.10974</v>
      </c>
      <c r="I363" s="6">
        <v>2141.23</v>
      </c>
      <c r="J363" s="6">
        <v>9111</v>
      </c>
      <c r="K363">
        <f t="shared" si="5"/>
        <v>0.23501591482823</v>
      </c>
      <c r="L363" s="2">
        <v>506.7107898</v>
      </c>
      <c r="M363" s="2">
        <v>22.49</v>
      </c>
      <c r="N363" s="6">
        <v>49.4</v>
      </c>
      <c r="O363" s="6">
        <v>10.17</v>
      </c>
      <c r="P363" s="6">
        <v>1430.2</v>
      </c>
    </row>
    <row r="364" spans="1:16">
      <c r="A364" t="s">
        <v>34</v>
      </c>
      <c r="B364">
        <v>2005</v>
      </c>
      <c r="C364">
        <v>0.205675205912247</v>
      </c>
      <c r="D364" s="6">
        <v>23997</v>
      </c>
      <c r="E364" s="6">
        <v>8968.5</v>
      </c>
      <c r="F364" s="2">
        <v>0.503082456859263</v>
      </c>
      <c r="G364" s="2">
        <v>0.809060692983654</v>
      </c>
      <c r="H364" s="2">
        <v>0.1079901</v>
      </c>
      <c r="I364" s="6">
        <v>2278.59</v>
      </c>
      <c r="J364" s="6">
        <v>9194</v>
      </c>
      <c r="K364">
        <f t="shared" si="5"/>
        <v>0.247834457254731</v>
      </c>
      <c r="L364" s="2">
        <v>511.3459399</v>
      </c>
      <c r="M364" s="2">
        <v>60.68</v>
      </c>
      <c r="N364" s="6">
        <v>49.4</v>
      </c>
      <c r="O364" s="6">
        <v>12.99</v>
      </c>
      <c r="P364" s="6">
        <v>1906.4</v>
      </c>
    </row>
    <row r="365" spans="1:16">
      <c r="A365" t="s">
        <v>34</v>
      </c>
      <c r="B365">
        <v>2006</v>
      </c>
      <c r="C365">
        <v>0.325909653709962</v>
      </c>
      <c r="D365" s="6">
        <v>27861</v>
      </c>
      <c r="E365" s="6">
        <v>9895.1</v>
      </c>
      <c r="F365" s="2">
        <v>0.506833274270835</v>
      </c>
      <c r="G365" s="2">
        <v>0.761336918170192</v>
      </c>
      <c r="H365" s="2">
        <v>0.10594444</v>
      </c>
      <c r="I365" s="6">
        <v>2465.82</v>
      </c>
      <c r="J365" s="6">
        <v>9442</v>
      </c>
      <c r="K365">
        <f t="shared" si="5"/>
        <v>0.261154416437196</v>
      </c>
      <c r="L365" s="2">
        <v>525.1429366</v>
      </c>
      <c r="M365" s="2">
        <v>63</v>
      </c>
      <c r="N365" s="6">
        <v>49.4</v>
      </c>
      <c r="O365" s="6">
        <v>17.81</v>
      </c>
      <c r="P365" s="6">
        <v>2396.1</v>
      </c>
    </row>
    <row r="366" spans="1:16">
      <c r="A366" t="s">
        <v>34</v>
      </c>
      <c r="B366">
        <v>2007</v>
      </c>
      <c r="C366">
        <v>0.284051580852423</v>
      </c>
      <c r="D366" s="6">
        <v>33236</v>
      </c>
      <c r="E366" s="6">
        <v>11781.7</v>
      </c>
      <c r="F366" s="2">
        <v>0.504766465254894</v>
      </c>
      <c r="G366" s="2">
        <v>0.690306087088014</v>
      </c>
      <c r="H366" s="2">
        <v>0.10426991</v>
      </c>
      <c r="I366" s="6">
        <v>2731.97</v>
      </c>
      <c r="J366" s="6">
        <v>9660</v>
      </c>
      <c r="K366">
        <f t="shared" si="5"/>
        <v>0.282812629399586</v>
      </c>
      <c r="L366" s="2">
        <v>537.2369299</v>
      </c>
      <c r="M366" s="2">
        <v>63.14</v>
      </c>
      <c r="N366" s="6">
        <v>49.4</v>
      </c>
      <c r="O366" s="6">
        <v>26.71</v>
      </c>
      <c r="P366" s="6">
        <v>1686.3</v>
      </c>
    </row>
    <row r="367" spans="1:16">
      <c r="A367" t="s">
        <v>34</v>
      </c>
      <c r="B367">
        <v>2008</v>
      </c>
      <c r="C367">
        <v>0.207915613110823</v>
      </c>
      <c r="D367" s="6">
        <v>37543</v>
      </c>
      <c r="E367" s="6">
        <v>13599.7</v>
      </c>
      <c r="F367" s="2">
        <v>0.504558061475254</v>
      </c>
      <c r="G367" s="2">
        <v>0.639599827812621</v>
      </c>
      <c r="H367" s="2">
        <v>0.10203285</v>
      </c>
      <c r="I367" s="6">
        <v>2716.25</v>
      </c>
      <c r="J367" s="6">
        <v>9893</v>
      </c>
      <c r="K367">
        <f t="shared" si="5"/>
        <v>0.274562822197513</v>
      </c>
      <c r="L367" s="2">
        <v>550.2491657</v>
      </c>
      <c r="M367" s="2">
        <v>63.37</v>
      </c>
      <c r="N367" s="6">
        <v>49.4</v>
      </c>
      <c r="O367" s="6">
        <v>47.09</v>
      </c>
      <c r="P367" s="6">
        <v>2323.8</v>
      </c>
    </row>
    <row r="368" spans="1:16">
      <c r="A368" t="s">
        <v>34</v>
      </c>
      <c r="B368">
        <v>2009</v>
      </c>
      <c r="C368">
        <v>0.191134150802862</v>
      </c>
      <c r="D368" s="6">
        <v>39418</v>
      </c>
      <c r="E368" s="6">
        <v>15261.3</v>
      </c>
      <c r="F368" s="2">
        <v>0.492584512234985</v>
      </c>
      <c r="G368" s="2">
        <v>0.624710184037887</v>
      </c>
      <c r="H368" s="2">
        <v>0.09863717</v>
      </c>
      <c r="I368" s="6">
        <v>2757.61</v>
      </c>
      <c r="J368" s="6">
        <v>10130</v>
      </c>
      <c r="K368">
        <f t="shared" si="5"/>
        <v>0.272222112537019</v>
      </c>
      <c r="L368" s="2">
        <v>563.4143493</v>
      </c>
      <c r="M368" s="2">
        <v>63.4</v>
      </c>
      <c r="N368" s="6">
        <v>51.3</v>
      </c>
      <c r="O368" s="6">
        <v>100.8</v>
      </c>
      <c r="P368" s="6">
        <v>1682.5</v>
      </c>
    </row>
    <row r="369" spans="1:16">
      <c r="A369" t="s">
        <v>34</v>
      </c>
      <c r="B369">
        <v>2010</v>
      </c>
      <c r="C369">
        <v>0.189103827368165</v>
      </c>
      <c r="D369" s="6">
        <v>44669</v>
      </c>
      <c r="E369" s="6">
        <v>17702.4</v>
      </c>
      <c r="F369" s="2">
        <v>0.498805082643009</v>
      </c>
      <c r="G369" s="2">
        <v>0.585662297636719</v>
      </c>
      <c r="H369" s="2">
        <v>0.09667252</v>
      </c>
      <c r="I369" s="6">
        <v>3236.94</v>
      </c>
      <c r="J369" s="6">
        <v>10441</v>
      </c>
      <c r="K369">
        <f t="shared" si="5"/>
        <v>0.310022028541327</v>
      </c>
      <c r="L369" s="2">
        <v>580.6985539</v>
      </c>
      <c r="M369" s="2">
        <v>66.18</v>
      </c>
      <c r="N369" s="6">
        <v>51.3</v>
      </c>
      <c r="O369" s="6">
        <v>239.16</v>
      </c>
      <c r="P369" s="6">
        <v>1943.3</v>
      </c>
    </row>
    <row r="370" spans="1:16">
      <c r="A370" t="s">
        <v>34</v>
      </c>
      <c r="B370">
        <v>2011</v>
      </c>
      <c r="C370">
        <v>0.203172064934542</v>
      </c>
      <c r="D370" s="6">
        <v>50076</v>
      </c>
      <c r="E370" s="6">
        <v>20504.1</v>
      </c>
      <c r="F370" s="2">
        <v>0.492928581118765</v>
      </c>
      <c r="G370" s="2">
        <v>0.536621395517101</v>
      </c>
      <c r="H370" s="2">
        <v>0.09354458</v>
      </c>
      <c r="I370" s="6">
        <v>3802.49</v>
      </c>
      <c r="J370" s="6">
        <v>10756</v>
      </c>
      <c r="K370">
        <f t="shared" si="5"/>
        <v>0.353522685013016</v>
      </c>
      <c r="L370" s="2">
        <v>598.2202447</v>
      </c>
      <c r="M370" s="2">
        <v>66.57</v>
      </c>
      <c r="N370" s="6">
        <v>51.3</v>
      </c>
      <c r="O370" s="6">
        <v>232.62</v>
      </c>
      <c r="P370" s="6">
        <v>1404.8</v>
      </c>
    </row>
    <row r="371" spans="1:16">
      <c r="A371" t="s">
        <v>34</v>
      </c>
      <c r="B371">
        <v>2012</v>
      </c>
      <c r="C371">
        <v>0.174835614728425</v>
      </c>
      <c r="D371" s="6">
        <v>52308</v>
      </c>
      <c r="E371" s="6">
        <v>23022.5</v>
      </c>
      <c r="F371" s="2">
        <v>0.479691339941797</v>
      </c>
      <c r="G371" s="2">
        <v>0.511229360244318</v>
      </c>
      <c r="H371" s="2">
        <v>0.09314931</v>
      </c>
      <c r="I371" s="6">
        <v>3593.2</v>
      </c>
      <c r="J371" s="6">
        <v>11041</v>
      </c>
      <c r="K371">
        <f t="shared" si="5"/>
        <v>0.325441536092745</v>
      </c>
      <c r="L371" s="2">
        <v>614.0711902</v>
      </c>
      <c r="M371" s="2">
        <v>67.15</v>
      </c>
      <c r="N371" s="6">
        <v>51.3</v>
      </c>
      <c r="O371" s="6">
        <v>235.44</v>
      </c>
      <c r="P371" s="6">
        <v>1921</v>
      </c>
    </row>
    <row r="372" spans="1:16">
      <c r="A372" t="s">
        <v>34</v>
      </c>
      <c r="B372">
        <v>2013</v>
      </c>
      <c r="C372">
        <v>0.18534420213035</v>
      </c>
      <c r="D372" s="6">
        <v>56029</v>
      </c>
      <c r="E372" s="6">
        <v>25208.5</v>
      </c>
      <c r="F372" s="2">
        <v>0.469462461242108</v>
      </c>
      <c r="G372" s="2">
        <v>0.455655212356448</v>
      </c>
      <c r="H372" s="2">
        <v>0.09041227</v>
      </c>
      <c r="I372" s="6">
        <v>3874.97</v>
      </c>
      <c r="J372" s="6">
        <v>11270</v>
      </c>
      <c r="K372">
        <f t="shared" si="5"/>
        <v>0.343830523513753</v>
      </c>
      <c r="L372" s="2">
        <v>626.807564</v>
      </c>
      <c r="M372" s="2">
        <v>68.09</v>
      </c>
      <c r="N372" s="6">
        <v>51.3</v>
      </c>
      <c r="O372" s="6">
        <v>307.78</v>
      </c>
      <c r="P372" s="6">
        <v>2131.2</v>
      </c>
    </row>
    <row r="373" spans="1:16">
      <c r="A373" t="s">
        <v>34</v>
      </c>
      <c r="B373">
        <v>2014</v>
      </c>
      <c r="C373">
        <v>0.19511416487218</v>
      </c>
      <c r="D373" s="6">
        <v>59909</v>
      </c>
      <c r="E373" s="6">
        <v>26263.1</v>
      </c>
      <c r="F373" s="2">
        <v>0.46837310958884</v>
      </c>
      <c r="G373" s="2">
        <v>0.434090622387162</v>
      </c>
      <c r="H373" s="2">
        <v>0.0940967</v>
      </c>
      <c r="I373" s="6">
        <v>3948.39</v>
      </c>
      <c r="J373" s="6">
        <v>11489</v>
      </c>
      <c r="K373">
        <f t="shared" si="5"/>
        <v>0.343666985812516</v>
      </c>
      <c r="L373" s="2">
        <v>638.9877642</v>
      </c>
      <c r="M373" s="2">
        <v>68.62</v>
      </c>
      <c r="N373" s="6">
        <v>53.5</v>
      </c>
      <c r="O373" s="6">
        <v>259.04</v>
      </c>
      <c r="P373" s="6">
        <v>1608.4</v>
      </c>
    </row>
    <row r="374" spans="1:16">
      <c r="A374" t="s">
        <v>34</v>
      </c>
      <c r="B374">
        <v>2015</v>
      </c>
      <c r="C374">
        <v>0.219676784054687</v>
      </c>
      <c r="D374" s="6">
        <v>64516</v>
      </c>
      <c r="E374" s="6">
        <v>28438.6</v>
      </c>
      <c r="F374" s="2">
        <v>0.453803169709524</v>
      </c>
      <c r="G374" s="2">
        <v>0.402997896494693</v>
      </c>
      <c r="H374" s="2">
        <v>0.0932797</v>
      </c>
      <c r="I374" s="6">
        <v>4035</v>
      </c>
      <c r="J374" s="6">
        <v>11678</v>
      </c>
      <c r="K374">
        <f t="shared" si="5"/>
        <v>0.345521493406405</v>
      </c>
      <c r="L374" s="2">
        <v>649.4994438</v>
      </c>
      <c r="M374" s="2">
        <v>69.51</v>
      </c>
      <c r="N374" s="6">
        <v>53.5</v>
      </c>
      <c r="O374" s="6">
        <v>322.33</v>
      </c>
      <c r="P374" s="6">
        <v>1792.4</v>
      </c>
    </row>
    <row r="375" spans="1:16">
      <c r="A375" t="s">
        <v>34</v>
      </c>
      <c r="B375">
        <v>2016</v>
      </c>
      <c r="C375">
        <v>0.204005219981514</v>
      </c>
      <c r="D375" s="6">
        <v>69671</v>
      </c>
      <c r="E375" s="6">
        <v>31127.6</v>
      </c>
      <c r="F375" s="2">
        <v>0.432057174014644</v>
      </c>
      <c r="G375" s="2">
        <v>0.379865925377785</v>
      </c>
      <c r="H375" s="2">
        <v>0.09389803</v>
      </c>
      <c r="I375" s="6">
        <v>4263.66</v>
      </c>
      <c r="J375" s="6">
        <v>11908</v>
      </c>
      <c r="K375">
        <f t="shared" si="5"/>
        <v>0.358050050386295</v>
      </c>
      <c r="L375" s="2">
        <v>662.2914349</v>
      </c>
      <c r="M375" s="2">
        <v>70.15</v>
      </c>
      <c r="N375" s="6">
        <v>53.5</v>
      </c>
      <c r="O375" s="6">
        <v>297.45</v>
      </c>
      <c r="P375" s="6">
        <v>2250.6</v>
      </c>
    </row>
    <row r="376" spans="1:16">
      <c r="A376" t="s">
        <v>34</v>
      </c>
      <c r="B376">
        <v>2017</v>
      </c>
      <c r="C376">
        <v>0.197796556418156</v>
      </c>
      <c r="D376" s="6">
        <v>76218</v>
      </c>
      <c r="E376" s="6">
        <v>34097.1</v>
      </c>
      <c r="F376" s="2">
        <v>0.420481687137952</v>
      </c>
      <c r="G376" s="2">
        <v>0.352530914241009</v>
      </c>
      <c r="H376" s="2">
        <v>0.09447197</v>
      </c>
      <c r="I376" s="6">
        <v>4503.36</v>
      </c>
      <c r="J376" s="6">
        <v>12141</v>
      </c>
      <c r="K376">
        <f t="shared" si="5"/>
        <v>0.370921670373116</v>
      </c>
      <c r="L376" s="2">
        <v>675.2502781</v>
      </c>
      <c r="M376" s="2">
        <v>70.74</v>
      </c>
      <c r="N376" s="6">
        <v>53.5</v>
      </c>
      <c r="O376" s="6">
        <v>433.23</v>
      </c>
      <c r="P376" s="6">
        <v>1611.9</v>
      </c>
    </row>
    <row r="377" spans="1:16">
      <c r="A377" t="s">
        <v>34</v>
      </c>
      <c r="B377">
        <v>2018</v>
      </c>
      <c r="C377">
        <v>0.165041181271471</v>
      </c>
      <c r="D377" s="6">
        <v>81625</v>
      </c>
      <c r="E377" s="6">
        <v>37083.2</v>
      </c>
      <c r="F377" s="2">
        <v>0.414211988169517</v>
      </c>
      <c r="G377" s="2">
        <v>0.333482748546203</v>
      </c>
      <c r="H377" s="2">
        <v>0.0916403</v>
      </c>
      <c r="I377" s="6">
        <v>4694.76</v>
      </c>
      <c r="J377" s="6">
        <v>12348</v>
      </c>
      <c r="K377">
        <f t="shared" si="5"/>
        <v>0.380204081632653</v>
      </c>
      <c r="L377" s="2">
        <v>686.7630701</v>
      </c>
      <c r="M377" s="2">
        <v>71.81</v>
      </c>
      <c r="N377" s="6">
        <v>53.5</v>
      </c>
      <c r="O377" s="6">
        <v>567.41</v>
      </c>
      <c r="P377" s="6">
        <v>1683.4</v>
      </c>
    </row>
    <row r="378" spans="1:16">
      <c r="A378" t="s">
        <v>34</v>
      </c>
      <c r="B378">
        <v>2019</v>
      </c>
      <c r="C378">
        <v>0.146824802472733</v>
      </c>
      <c r="D378" s="6">
        <v>86956</v>
      </c>
      <c r="E378" s="6">
        <v>40243.6</v>
      </c>
      <c r="F378" s="2">
        <v>0.401606120742423</v>
      </c>
      <c r="G378" s="2">
        <v>0.316167979634567</v>
      </c>
      <c r="H378" s="2">
        <v>0.09237735</v>
      </c>
      <c r="I378" s="6">
        <v>5051.02</v>
      </c>
      <c r="J378" s="6">
        <v>12489</v>
      </c>
      <c r="K378">
        <f t="shared" si="5"/>
        <v>0.404437505004404</v>
      </c>
      <c r="L378" s="2">
        <v>694.6051168</v>
      </c>
      <c r="M378" s="2">
        <v>72.65</v>
      </c>
      <c r="N378" s="6">
        <v>53.5</v>
      </c>
      <c r="O378" s="6">
        <v>747.44</v>
      </c>
      <c r="P378" s="6">
        <v>1808.9</v>
      </c>
    </row>
    <row r="379" spans="1:16">
      <c r="A379" t="s">
        <v>34</v>
      </c>
      <c r="B379">
        <v>2020</v>
      </c>
      <c r="C379">
        <v>0.139713649519752</v>
      </c>
      <c r="D379" s="6">
        <v>88521</v>
      </c>
      <c r="E379" s="6">
        <v>43581.1</v>
      </c>
      <c r="F379" s="2">
        <v>0.394669082586306</v>
      </c>
      <c r="G379" s="2">
        <v>0.310413165442513</v>
      </c>
      <c r="H379" s="2">
        <v>0.09221142</v>
      </c>
      <c r="I379" s="6">
        <v>5225.91</v>
      </c>
      <c r="J379" s="6">
        <v>12624</v>
      </c>
      <c r="K379">
        <f t="shared" si="5"/>
        <v>0.413966254752852</v>
      </c>
      <c r="L379" s="2">
        <v>702.0917686</v>
      </c>
      <c r="M379" s="2">
        <v>74.15</v>
      </c>
      <c r="N379" s="6">
        <v>53.5</v>
      </c>
      <c r="O379" s="6">
        <v>517.76</v>
      </c>
      <c r="P379" s="6">
        <v>1294.9</v>
      </c>
    </row>
    <row r="380" spans="1:16">
      <c r="A380" t="s">
        <v>34</v>
      </c>
      <c r="B380">
        <v>2021</v>
      </c>
      <c r="C380">
        <v>0.122376340846966</v>
      </c>
      <c r="D380" s="6">
        <v>98561</v>
      </c>
      <c r="E380" s="6">
        <v>47098.4</v>
      </c>
      <c r="F380" s="2">
        <v>0.405356018906426</v>
      </c>
      <c r="G380" s="2">
        <v>0.295233864792595</v>
      </c>
      <c r="H380" s="2">
        <v>0.09463605</v>
      </c>
      <c r="I380" s="6">
        <v>6306.23</v>
      </c>
      <c r="J380" s="6">
        <v>12684</v>
      </c>
      <c r="K380">
        <f t="shared" si="5"/>
        <v>0.497179911699779</v>
      </c>
      <c r="L380" s="2">
        <v>705.4505006</v>
      </c>
      <c r="M380" s="2">
        <v>74.63</v>
      </c>
      <c r="N380" s="6">
        <v>53.5</v>
      </c>
      <c r="O380" s="6">
        <v>493.55</v>
      </c>
      <c r="P380" s="6">
        <v>965.1</v>
      </c>
    </row>
    <row r="381" spans="1:16">
      <c r="A381" t="s">
        <v>34</v>
      </c>
      <c r="B381">
        <v>2022</v>
      </c>
      <c r="C381">
        <v>0.119475195577377</v>
      </c>
      <c r="D381" s="6">
        <v>102217</v>
      </c>
      <c r="E381" s="6">
        <v>50797.7</v>
      </c>
      <c r="F381" s="2">
        <v>0.409263266485231</v>
      </c>
      <c r="G381" s="2">
        <v>0.282833379544078</v>
      </c>
      <c r="H381" s="2">
        <v>0.071281838</v>
      </c>
      <c r="I381" s="6">
        <v>6658.28</v>
      </c>
      <c r="J381" s="6">
        <v>12657</v>
      </c>
      <c r="K381">
        <f t="shared" si="5"/>
        <v>0.526055147349293</v>
      </c>
      <c r="L381" s="2">
        <v>703.9377086</v>
      </c>
      <c r="M381" s="2">
        <v>55.92</v>
      </c>
      <c r="N381" s="6">
        <v>53.5</v>
      </c>
      <c r="O381" s="6">
        <v>464.89</v>
      </c>
      <c r="P381" s="6">
        <v>1754.9</v>
      </c>
    </row>
    <row r="382" spans="1:16">
      <c r="A382" t="s">
        <v>35</v>
      </c>
      <c r="B382">
        <v>2003</v>
      </c>
      <c r="C382">
        <v>0.471005515945513</v>
      </c>
      <c r="D382" s="6">
        <v>6120</v>
      </c>
      <c r="E382" s="6">
        <v>1360.3</v>
      </c>
      <c r="F382" s="2">
        <v>0.341326567078836</v>
      </c>
      <c r="G382" s="2">
        <v>1.25911657494103</v>
      </c>
      <c r="H382" s="2">
        <v>0.02201984</v>
      </c>
      <c r="I382" s="6">
        <v>362.91</v>
      </c>
      <c r="J382" s="6">
        <v>4857</v>
      </c>
      <c r="K382">
        <f t="shared" si="5"/>
        <v>0.0747189623224213</v>
      </c>
      <c r="L382" s="2">
        <v>204.4191919</v>
      </c>
      <c r="M382" s="2">
        <v>29.05</v>
      </c>
      <c r="N382" s="6">
        <v>52.7</v>
      </c>
      <c r="O382" s="6">
        <v>5.42</v>
      </c>
      <c r="P382" s="6">
        <v>3702.5</v>
      </c>
    </row>
    <row r="383" spans="1:16">
      <c r="A383" t="s">
        <v>35</v>
      </c>
      <c r="B383">
        <v>2004</v>
      </c>
      <c r="C383">
        <v>0.393610250799386</v>
      </c>
      <c r="D383" s="6">
        <v>7182</v>
      </c>
      <c r="E383" s="6">
        <v>1538</v>
      </c>
      <c r="F383" s="2">
        <v>0.348279931015703</v>
      </c>
      <c r="G383" s="2">
        <v>1.27175577138362</v>
      </c>
      <c r="H383" s="2">
        <v>0.02100263</v>
      </c>
      <c r="I383" s="6">
        <v>378.49</v>
      </c>
      <c r="J383" s="6">
        <v>4889</v>
      </c>
      <c r="K383">
        <f t="shared" si="5"/>
        <v>0.0774166496215995</v>
      </c>
      <c r="L383" s="2">
        <v>205.7659933</v>
      </c>
      <c r="M383" s="2">
        <v>31.7</v>
      </c>
      <c r="N383" s="6">
        <v>52.7</v>
      </c>
      <c r="O383" s="6">
        <v>5.96</v>
      </c>
      <c r="P383" s="6">
        <v>3281.9</v>
      </c>
    </row>
    <row r="384" spans="1:16">
      <c r="A384" t="s">
        <v>35</v>
      </c>
      <c r="B384">
        <v>2005</v>
      </c>
      <c r="C384">
        <v>0.368983419221566</v>
      </c>
      <c r="D384" s="6">
        <v>8069</v>
      </c>
      <c r="E384" s="6">
        <v>1808.5</v>
      </c>
      <c r="F384" s="2">
        <v>0.353892199567088</v>
      </c>
      <c r="G384" s="2">
        <v>1.33096389727693</v>
      </c>
      <c r="H384" s="2">
        <v>0.02060586</v>
      </c>
      <c r="I384" s="6">
        <v>446.04</v>
      </c>
      <c r="J384" s="6">
        <v>4660</v>
      </c>
      <c r="K384">
        <f t="shared" si="5"/>
        <v>0.0957167381974249</v>
      </c>
      <c r="L384" s="2">
        <v>196.1279461</v>
      </c>
      <c r="M384" s="2">
        <v>33.62</v>
      </c>
      <c r="N384" s="6">
        <v>52.7</v>
      </c>
      <c r="O384" s="6">
        <v>6.99</v>
      </c>
      <c r="P384" s="6">
        <v>3703.8</v>
      </c>
    </row>
    <row r="385" spans="1:16">
      <c r="A385" t="s">
        <v>35</v>
      </c>
      <c r="B385">
        <v>2006</v>
      </c>
      <c r="C385">
        <v>0.370014367060606</v>
      </c>
      <c r="D385" s="6">
        <v>9421</v>
      </c>
      <c r="E385" s="6">
        <v>2007</v>
      </c>
      <c r="F385" s="2">
        <v>0.363235094390873</v>
      </c>
      <c r="G385" s="2">
        <v>1.24828874100231</v>
      </c>
      <c r="H385" s="2">
        <v>0.02043611</v>
      </c>
      <c r="I385" s="6">
        <v>523.34</v>
      </c>
      <c r="J385" s="6">
        <v>4719</v>
      </c>
      <c r="K385">
        <f t="shared" si="5"/>
        <v>0.110900614536978</v>
      </c>
      <c r="L385" s="2">
        <v>198.6111111</v>
      </c>
      <c r="M385" s="2">
        <v>34.64</v>
      </c>
      <c r="N385" s="6">
        <v>52.7</v>
      </c>
      <c r="O385" s="6">
        <v>9.11</v>
      </c>
      <c r="P385" s="6">
        <v>4011.3</v>
      </c>
    </row>
    <row r="386" spans="1:16">
      <c r="A386" t="s">
        <v>35</v>
      </c>
      <c r="B386">
        <v>2007</v>
      </c>
      <c r="C386">
        <v>0.316939016540422</v>
      </c>
      <c r="D386" s="6">
        <v>11542</v>
      </c>
      <c r="E386" s="6">
        <v>2425.8</v>
      </c>
      <c r="F386" s="2">
        <v>0.378826623803609</v>
      </c>
      <c r="G386" s="2">
        <v>1.12089391393293</v>
      </c>
      <c r="H386" s="2">
        <v>0.02092545</v>
      </c>
      <c r="I386" s="6">
        <v>682.81</v>
      </c>
      <c r="J386" s="6">
        <v>4768</v>
      </c>
      <c r="K386">
        <f t="shared" si="5"/>
        <v>0.143206795302013</v>
      </c>
      <c r="L386" s="2">
        <v>200.6734007</v>
      </c>
      <c r="M386" s="2">
        <v>36.24</v>
      </c>
      <c r="N386" s="6">
        <v>52.7</v>
      </c>
      <c r="O386" s="6">
        <v>14.1</v>
      </c>
      <c r="P386" s="6">
        <v>2922.4</v>
      </c>
    </row>
    <row r="387" spans="1:16">
      <c r="A387" t="s">
        <v>35</v>
      </c>
      <c r="B387">
        <v>2008</v>
      </c>
      <c r="C387">
        <v>0.286680106331356</v>
      </c>
      <c r="D387" s="6">
        <v>13471</v>
      </c>
      <c r="E387" s="6">
        <v>2947.8</v>
      </c>
      <c r="F387" s="2">
        <v>0.382005762617344</v>
      </c>
      <c r="G387" s="2">
        <v>1.00644421724448</v>
      </c>
      <c r="H387" s="2">
        <v>0.0219327</v>
      </c>
      <c r="I387" s="6">
        <v>868.53</v>
      </c>
      <c r="J387" s="6">
        <v>4816</v>
      </c>
      <c r="K387">
        <f t="shared" ref="K387:K450" si="6">I387/J387</f>
        <v>0.180342607973422</v>
      </c>
      <c r="L387" s="2">
        <v>202.6936027</v>
      </c>
      <c r="M387" s="2">
        <v>38.16</v>
      </c>
      <c r="N387" s="6">
        <v>52.7</v>
      </c>
      <c r="O387" s="6">
        <v>27.97</v>
      </c>
      <c r="P387" s="6">
        <v>4763.1</v>
      </c>
    </row>
    <row r="388" spans="1:16">
      <c r="A388" t="s">
        <v>35</v>
      </c>
      <c r="B388">
        <v>2009</v>
      </c>
      <c r="C388">
        <v>0.244726462647983</v>
      </c>
      <c r="D388" s="6">
        <v>14708</v>
      </c>
      <c r="E388" s="6">
        <v>3369.9</v>
      </c>
      <c r="F388" s="2">
        <v>0.381743030268948</v>
      </c>
      <c r="G388" s="2">
        <v>0.994671652912314</v>
      </c>
      <c r="H388" s="2">
        <v>0.02340067</v>
      </c>
      <c r="I388" s="6">
        <v>944.45</v>
      </c>
      <c r="J388" s="6">
        <v>4856</v>
      </c>
      <c r="K388">
        <f t="shared" si="6"/>
        <v>0.194491350906096</v>
      </c>
      <c r="L388" s="2">
        <v>204.3771044</v>
      </c>
      <c r="M388" s="2">
        <v>39.2</v>
      </c>
      <c r="N388" s="6">
        <v>56.5</v>
      </c>
      <c r="O388" s="6">
        <v>49.92</v>
      </c>
      <c r="P388" s="6">
        <v>3069.3</v>
      </c>
    </row>
    <row r="389" spans="1:16">
      <c r="A389" t="s">
        <v>35</v>
      </c>
      <c r="B389">
        <v>2010</v>
      </c>
      <c r="C389">
        <v>0.244581851064122</v>
      </c>
      <c r="D389" s="6">
        <v>18070</v>
      </c>
      <c r="E389" s="6">
        <v>3745.8</v>
      </c>
      <c r="F389" s="2">
        <v>0.405172816987045</v>
      </c>
      <c r="G389" s="2">
        <v>0.925935409943408</v>
      </c>
      <c r="H389" s="2">
        <v>0.02364925</v>
      </c>
      <c r="I389" s="6">
        <v>1032.15</v>
      </c>
      <c r="J389" s="6">
        <v>4610</v>
      </c>
      <c r="K389">
        <f t="shared" si="6"/>
        <v>0.223893709327549</v>
      </c>
      <c r="L389" s="2">
        <v>194.023569</v>
      </c>
      <c r="M389" s="2">
        <v>40</v>
      </c>
      <c r="N389" s="6">
        <v>56.5</v>
      </c>
      <c r="O389" s="6">
        <v>63.99</v>
      </c>
      <c r="P389" s="6">
        <v>3852.9</v>
      </c>
    </row>
    <row r="390" spans="1:16">
      <c r="A390" t="s">
        <v>35</v>
      </c>
      <c r="B390">
        <v>2011</v>
      </c>
      <c r="C390">
        <v>0.236126465687317</v>
      </c>
      <c r="D390" s="6">
        <v>22234</v>
      </c>
      <c r="E390" s="6">
        <v>4248.3</v>
      </c>
      <c r="F390" s="2">
        <v>0.411770988067845</v>
      </c>
      <c r="G390" s="2">
        <v>0.834085767822989</v>
      </c>
      <c r="H390" s="2">
        <v>0.02365094</v>
      </c>
      <c r="I390" s="6">
        <v>1039.07</v>
      </c>
      <c r="J390" s="6">
        <v>4655</v>
      </c>
      <c r="K390">
        <f t="shared" si="6"/>
        <v>0.22321589688507</v>
      </c>
      <c r="L390" s="2">
        <v>195.9175084</v>
      </c>
      <c r="M390" s="2">
        <v>41.9</v>
      </c>
      <c r="N390" s="6">
        <v>56.5</v>
      </c>
      <c r="O390" s="6">
        <v>53.9</v>
      </c>
      <c r="P390" s="6">
        <v>2917.4</v>
      </c>
    </row>
    <row r="391" spans="1:16">
      <c r="A391" t="s">
        <v>35</v>
      </c>
      <c r="B391">
        <v>2012</v>
      </c>
      <c r="C391">
        <v>0.217274298350451</v>
      </c>
      <c r="D391" s="6">
        <v>24181</v>
      </c>
      <c r="E391" s="6">
        <v>4905.8</v>
      </c>
      <c r="F391" s="2">
        <v>0.398377508050533</v>
      </c>
      <c r="G391" s="2">
        <v>0.809874730174458</v>
      </c>
      <c r="H391" s="2">
        <v>0.02325847</v>
      </c>
      <c r="I391" s="6">
        <v>1133</v>
      </c>
      <c r="J391" s="6">
        <v>4694</v>
      </c>
      <c r="K391">
        <f t="shared" si="6"/>
        <v>0.241371964209629</v>
      </c>
      <c r="L391" s="2">
        <v>197.5589226</v>
      </c>
      <c r="M391" s="2">
        <v>43.48</v>
      </c>
      <c r="N391" s="6">
        <v>56.5</v>
      </c>
      <c r="O391" s="6">
        <v>60.01</v>
      </c>
      <c r="P391" s="6">
        <v>4476</v>
      </c>
    </row>
    <row r="392" spans="1:16">
      <c r="A392" t="s">
        <v>35</v>
      </c>
      <c r="B392">
        <v>2013</v>
      </c>
      <c r="C392">
        <v>0.223636901352505</v>
      </c>
      <c r="D392" s="6">
        <v>26416</v>
      </c>
      <c r="E392" s="6">
        <v>5504.4</v>
      </c>
      <c r="F392" s="2">
        <v>0.378305645705472</v>
      </c>
      <c r="G392" s="2">
        <v>0.73101764082131</v>
      </c>
      <c r="H392" s="2">
        <v>0.0231685</v>
      </c>
      <c r="I392" s="6">
        <v>1265.87</v>
      </c>
      <c r="J392" s="6">
        <v>4731</v>
      </c>
      <c r="K392">
        <f t="shared" si="6"/>
        <v>0.267569224265483</v>
      </c>
      <c r="L392" s="2">
        <v>199.1161616</v>
      </c>
      <c r="M392" s="2">
        <v>45.11</v>
      </c>
      <c r="N392" s="6">
        <v>56.5</v>
      </c>
      <c r="O392" s="6">
        <v>64.23</v>
      </c>
      <c r="P392" s="6">
        <v>4376.8</v>
      </c>
    </row>
    <row r="393" spans="1:16">
      <c r="A393" t="s">
        <v>35</v>
      </c>
      <c r="B393">
        <v>2014</v>
      </c>
      <c r="C393">
        <v>0.221416823344143</v>
      </c>
      <c r="D393" s="6">
        <v>28603</v>
      </c>
      <c r="E393" s="6">
        <v>6131.5</v>
      </c>
      <c r="F393" s="2">
        <v>0.378692650760241</v>
      </c>
      <c r="G393" s="2">
        <v>0.700285550273039</v>
      </c>
      <c r="H393" s="2">
        <v>0.02350948</v>
      </c>
      <c r="I393" s="6">
        <v>1310.03</v>
      </c>
      <c r="J393" s="6">
        <v>4770</v>
      </c>
      <c r="K393">
        <f t="shared" si="6"/>
        <v>0.274639412997904</v>
      </c>
      <c r="L393" s="2">
        <v>200.7575758</v>
      </c>
      <c r="M393" s="2">
        <v>46.54</v>
      </c>
      <c r="N393" s="6">
        <v>60.2</v>
      </c>
      <c r="O393" s="6">
        <v>84</v>
      </c>
      <c r="P393" s="6">
        <v>4203.3</v>
      </c>
    </row>
    <row r="394" spans="1:16">
      <c r="A394" t="s">
        <v>35</v>
      </c>
      <c r="B394">
        <v>2015</v>
      </c>
      <c r="C394">
        <v>0.217460990348608</v>
      </c>
      <c r="D394" s="6">
        <v>30890</v>
      </c>
      <c r="E394" s="6">
        <v>6645.7</v>
      </c>
      <c r="F394" s="2">
        <v>0.364310911081377</v>
      </c>
      <c r="G394" s="2">
        <v>0.662666071983673</v>
      </c>
      <c r="H394" s="2">
        <v>0.02343668</v>
      </c>
      <c r="I394" s="6">
        <v>1300</v>
      </c>
      <c r="J394" s="6">
        <v>4811</v>
      </c>
      <c r="K394">
        <f t="shared" si="6"/>
        <v>0.270214092704219</v>
      </c>
      <c r="L394" s="2">
        <v>202.483165</v>
      </c>
      <c r="M394" s="2">
        <v>47.99</v>
      </c>
      <c r="N394" s="6">
        <v>60.2</v>
      </c>
      <c r="O394" s="6">
        <v>98.68</v>
      </c>
      <c r="P394" s="6">
        <v>5096.5</v>
      </c>
    </row>
    <row r="395" spans="1:16">
      <c r="A395" t="s">
        <v>35</v>
      </c>
      <c r="B395">
        <v>2016</v>
      </c>
      <c r="C395">
        <v>0.190677701896195</v>
      </c>
      <c r="D395" s="6">
        <v>33340</v>
      </c>
      <c r="E395" s="6">
        <v>7231.8</v>
      </c>
      <c r="F395" s="2">
        <v>0.348770832557735</v>
      </c>
      <c r="G395" s="2">
        <v>0.6273035255575</v>
      </c>
      <c r="H395" s="2">
        <v>0.02275674</v>
      </c>
      <c r="I395" s="6">
        <v>1346.51</v>
      </c>
      <c r="J395" s="6">
        <v>4857</v>
      </c>
      <c r="K395">
        <f t="shared" si="6"/>
        <v>0.277230800905909</v>
      </c>
      <c r="L395" s="2">
        <v>204.4191919</v>
      </c>
      <c r="M395" s="2">
        <v>49.24</v>
      </c>
      <c r="N395" s="6">
        <v>60.2</v>
      </c>
      <c r="O395" s="6">
        <v>90.7</v>
      </c>
      <c r="P395" s="6">
        <v>4522.7</v>
      </c>
    </row>
    <row r="396" spans="1:16">
      <c r="A396" t="s">
        <v>35</v>
      </c>
      <c r="B396">
        <v>2017</v>
      </c>
      <c r="C396">
        <v>0.175325376073107</v>
      </c>
      <c r="D396" s="6">
        <v>36441</v>
      </c>
      <c r="E396" s="6">
        <v>7847.1</v>
      </c>
      <c r="F396" s="2">
        <v>0.345028582349205</v>
      </c>
      <c r="G396" s="2">
        <v>0.587722798990484</v>
      </c>
      <c r="H396" s="2">
        <v>0.02286647</v>
      </c>
      <c r="I396" s="6">
        <v>1401.11</v>
      </c>
      <c r="J396" s="6">
        <v>4907</v>
      </c>
      <c r="K396">
        <f t="shared" si="6"/>
        <v>0.285532912166293</v>
      </c>
      <c r="L396" s="2">
        <v>206.523569</v>
      </c>
      <c r="M396" s="2">
        <v>50.59</v>
      </c>
      <c r="N396" s="6">
        <v>60.2</v>
      </c>
      <c r="O396" s="6">
        <v>85.11</v>
      </c>
      <c r="P396" s="6">
        <v>4912.1</v>
      </c>
    </row>
    <row r="397" spans="1:16">
      <c r="A397" t="s">
        <v>35</v>
      </c>
      <c r="B397">
        <v>2018</v>
      </c>
      <c r="C397">
        <v>0.163029025754748</v>
      </c>
      <c r="D397" s="6">
        <v>39837</v>
      </c>
      <c r="E397" s="6">
        <v>8468.2</v>
      </c>
      <c r="F397" s="2">
        <v>0.340990839523533</v>
      </c>
      <c r="G397" s="2">
        <v>0.551411773097342</v>
      </c>
      <c r="H397" s="2">
        <v>0.024681</v>
      </c>
      <c r="I397" s="6">
        <v>1752.02</v>
      </c>
      <c r="J397" s="6">
        <v>4947</v>
      </c>
      <c r="K397">
        <f t="shared" si="6"/>
        <v>0.354158075601375</v>
      </c>
      <c r="L397" s="2">
        <v>208.2070707</v>
      </c>
      <c r="M397" s="2">
        <v>51.82</v>
      </c>
      <c r="N397" s="6">
        <v>60.2</v>
      </c>
      <c r="O397" s="6">
        <v>79.45</v>
      </c>
      <c r="P397" s="6">
        <v>3732.5</v>
      </c>
    </row>
    <row r="398" spans="1:16">
      <c r="A398" t="s">
        <v>35</v>
      </c>
      <c r="B398">
        <v>2019</v>
      </c>
      <c r="C398">
        <v>0.152190402510812</v>
      </c>
      <c r="D398" s="6">
        <v>42778</v>
      </c>
      <c r="E398" s="6">
        <v>9090.9</v>
      </c>
      <c r="F398" s="2">
        <v>0.331796714240645</v>
      </c>
      <c r="G398" s="2">
        <v>0.530675092173602</v>
      </c>
      <c r="H398" s="2">
        <v>0.02631393</v>
      </c>
      <c r="I398" s="6">
        <v>1846.27</v>
      </c>
      <c r="J398" s="6">
        <v>4982</v>
      </c>
      <c r="K398">
        <f t="shared" si="6"/>
        <v>0.370588117221999</v>
      </c>
      <c r="L398" s="2">
        <v>209.6801347</v>
      </c>
      <c r="M398" s="2">
        <v>52.98</v>
      </c>
      <c r="N398" s="6">
        <v>60.2</v>
      </c>
      <c r="O398" s="6">
        <v>99.84</v>
      </c>
      <c r="P398" s="6">
        <v>4258.7</v>
      </c>
    </row>
    <row r="399" spans="1:16">
      <c r="A399" t="s">
        <v>35</v>
      </c>
      <c r="B399">
        <v>2020</v>
      </c>
      <c r="C399">
        <v>0.145888947590321</v>
      </c>
      <c r="D399" s="6">
        <v>44237</v>
      </c>
      <c r="E399" s="6">
        <v>9712.1</v>
      </c>
      <c r="F399" s="2">
        <v>0.318558467331799</v>
      </c>
      <c r="G399" s="2">
        <v>0.546137363308003</v>
      </c>
      <c r="H399" s="2">
        <v>0.02696046</v>
      </c>
      <c r="I399" s="6">
        <v>1970.88</v>
      </c>
      <c r="J399" s="6">
        <v>5019</v>
      </c>
      <c r="K399">
        <f t="shared" si="6"/>
        <v>0.392683801554094</v>
      </c>
      <c r="L399" s="2">
        <v>211.2255892</v>
      </c>
      <c r="M399" s="2">
        <v>54.2</v>
      </c>
      <c r="N399" s="6">
        <v>60.2</v>
      </c>
      <c r="O399" s="6">
        <v>100.74</v>
      </c>
      <c r="P399" s="6">
        <v>4229.2</v>
      </c>
    </row>
    <row r="400" spans="1:16">
      <c r="A400" t="s">
        <v>35</v>
      </c>
      <c r="B400">
        <v>2021</v>
      </c>
      <c r="C400">
        <v>0.143379531065055</v>
      </c>
      <c r="D400" s="6">
        <v>50137</v>
      </c>
      <c r="E400" s="6">
        <v>10329</v>
      </c>
      <c r="F400" s="2">
        <v>0.337731216108469</v>
      </c>
      <c r="G400" s="2">
        <v>0.52318488164988</v>
      </c>
      <c r="H400" s="2">
        <v>0.02689795</v>
      </c>
      <c r="I400" s="6">
        <v>2081.93</v>
      </c>
      <c r="J400" s="6">
        <v>5037</v>
      </c>
      <c r="K400">
        <f t="shared" si="6"/>
        <v>0.413327377407187</v>
      </c>
      <c r="L400" s="2">
        <v>211.9949495</v>
      </c>
      <c r="M400" s="2">
        <v>55.08</v>
      </c>
      <c r="N400" s="6">
        <v>60.2</v>
      </c>
      <c r="O400" s="6">
        <v>83.5</v>
      </c>
      <c r="P400" s="6">
        <v>3065.2</v>
      </c>
    </row>
    <row r="401" spans="1:16">
      <c r="A401" t="s">
        <v>35</v>
      </c>
      <c r="B401">
        <v>2022</v>
      </c>
      <c r="C401">
        <v>0.141062468938581</v>
      </c>
      <c r="D401" s="6">
        <v>51936</v>
      </c>
      <c r="E401" s="6">
        <v>10938.9</v>
      </c>
      <c r="F401" s="2">
        <v>0.339859092274409</v>
      </c>
      <c r="G401" s="2">
        <v>0.502153918687193</v>
      </c>
      <c r="H401" s="2">
        <v>0.05044719</v>
      </c>
      <c r="I401" s="6">
        <v>2232.43</v>
      </c>
      <c r="J401" s="6">
        <v>5047</v>
      </c>
      <c r="K401">
        <f t="shared" si="6"/>
        <v>0.442328115712304</v>
      </c>
      <c r="L401" s="2">
        <v>212.4158249</v>
      </c>
      <c r="M401" s="2">
        <v>43.674</v>
      </c>
      <c r="N401" s="6">
        <v>60.2</v>
      </c>
      <c r="O401" s="6">
        <v>90.81</v>
      </c>
      <c r="P401" s="6">
        <v>4380.2</v>
      </c>
    </row>
    <row r="402" spans="1:16">
      <c r="A402" t="s">
        <v>36</v>
      </c>
      <c r="B402">
        <v>2003</v>
      </c>
      <c r="C402">
        <v>0.397866452255892</v>
      </c>
      <c r="D402" s="6">
        <v>8849</v>
      </c>
      <c r="E402" s="6">
        <v>281.1</v>
      </c>
      <c r="F402" s="2">
        <v>0.246218487394958</v>
      </c>
      <c r="G402" s="2">
        <v>0.957619047619048</v>
      </c>
      <c r="H402" s="2">
        <v>0.00299825</v>
      </c>
      <c r="I402" s="6">
        <v>58.59</v>
      </c>
      <c r="J402" s="6">
        <v>811</v>
      </c>
      <c r="K402">
        <f t="shared" si="6"/>
        <v>0.0722441430332922</v>
      </c>
      <c r="L402" s="2">
        <v>230.9173789</v>
      </c>
      <c r="M402" s="2">
        <v>25.23</v>
      </c>
      <c r="N402" s="6">
        <v>52</v>
      </c>
      <c r="O402" s="6">
        <v>3.27</v>
      </c>
      <c r="P402" s="6">
        <v>2801.3</v>
      </c>
    </row>
    <row r="403" spans="1:16">
      <c r="A403" t="s">
        <v>36</v>
      </c>
      <c r="B403">
        <v>2004</v>
      </c>
      <c r="C403">
        <v>0.303268801110045</v>
      </c>
      <c r="D403" s="6">
        <v>9859</v>
      </c>
      <c r="E403" s="6">
        <v>313.2</v>
      </c>
      <c r="F403" s="2">
        <v>0.248660769901582</v>
      </c>
      <c r="G403" s="2">
        <v>0.924978198579793</v>
      </c>
      <c r="H403" s="2">
        <v>0.00308052</v>
      </c>
      <c r="I403" s="6">
        <v>65.7</v>
      </c>
      <c r="J403" s="6">
        <v>818</v>
      </c>
      <c r="K403">
        <f t="shared" si="6"/>
        <v>0.080317848410758</v>
      </c>
      <c r="L403" s="2">
        <v>233</v>
      </c>
      <c r="M403" s="2">
        <v>44.19</v>
      </c>
      <c r="N403" s="6">
        <v>52</v>
      </c>
      <c r="O403" s="6">
        <v>3.66</v>
      </c>
      <c r="P403" s="6">
        <v>2092.2</v>
      </c>
    </row>
    <row r="404" spans="1:16">
      <c r="A404" t="s">
        <v>36</v>
      </c>
      <c r="B404">
        <v>2005</v>
      </c>
      <c r="C404">
        <v>0.331476116286658</v>
      </c>
      <c r="D404" s="6">
        <v>10753</v>
      </c>
      <c r="E404" s="6">
        <v>342.8</v>
      </c>
      <c r="F404" s="2">
        <v>0.259690360492711</v>
      </c>
      <c r="G404" s="2">
        <v>0.92564131540287</v>
      </c>
      <c r="H404" s="2">
        <v>0.00329631</v>
      </c>
      <c r="I404" s="6">
        <v>82.19</v>
      </c>
      <c r="J404" s="6">
        <v>828</v>
      </c>
      <c r="K404">
        <f t="shared" si="6"/>
        <v>0.0992632850241546</v>
      </c>
      <c r="L404" s="2">
        <v>235.8974359</v>
      </c>
      <c r="M404" s="2">
        <v>45.2</v>
      </c>
      <c r="N404" s="6">
        <v>52</v>
      </c>
      <c r="O404" s="6">
        <v>4.12</v>
      </c>
      <c r="P404" s="6">
        <v>3722.4</v>
      </c>
    </row>
    <row r="405" spans="1:16">
      <c r="A405" t="s">
        <v>36</v>
      </c>
      <c r="B405">
        <v>2006</v>
      </c>
      <c r="C405">
        <v>0.383823391823689</v>
      </c>
      <c r="D405" s="6">
        <v>12350</v>
      </c>
      <c r="E405" s="6">
        <v>400.9</v>
      </c>
      <c r="F405" s="2">
        <v>0.283795620437956</v>
      </c>
      <c r="G405" s="2">
        <v>0.886530413625304</v>
      </c>
      <c r="H405" s="2">
        <v>0.00344477</v>
      </c>
      <c r="I405" s="6">
        <v>96.98</v>
      </c>
      <c r="J405" s="6">
        <v>836</v>
      </c>
      <c r="K405">
        <f t="shared" si="6"/>
        <v>0.116004784688995</v>
      </c>
      <c r="L405" s="2">
        <v>238.1424501</v>
      </c>
      <c r="M405" s="2">
        <v>46.1</v>
      </c>
      <c r="N405" s="6">
        <v>52</v>
      </c>
      <c r="O405" s="6">
        <v>4.66</v>
      </c>
      <c r="P405" s="6">
        <v>2735.4</v>
      </c>
    </row>
    <row r="406" spans="1:16">
      <c r="A406" t="s">
        <v>36</v>
      </c>
      <c r="B406">
        <v>2007</v>
      </c>
      <c r="C406">
        <v>0.409109875823696</v>
      </c>
      <c r="D406" s="6">
        <v>14683</v>
      </c>
      <c r="E406" s="6">
        <v>473.2</v>
      </c>
      <c r="F406" s="2">
        <v>0.287115072933549</v>
      </c>
      <c r="G406" s="2">
        <v>0.823476499189627</v>
      </c>
      <c r="H406" s="2">
        <v>0.00347932</v>
      </c>
      <c r="I406" s="6">
        <v>114.82</v>
      </c>
      <c r="J406" s="6">
        <v>845</v>
      </c>
      <c r="K406">
        <f t="shared" si="6"/>
        <v>0.135881656804734</v>
      </c>
      <c r="L406" s="2">
        <v>240.7492877</v>
      </c>
      <c r="M406" s="2">
        <v>47.2</v>
      </c>
      <c r="N406" s="6">
        <v>52</v>
      </c>
      <c r="O406" s="6">
        <v>5.32</v>
      </c>
      <c r="P406" s="6">
        <v>3373.3</v>
      </c>
    </row>
    <row r="407" spans="1:16">
      <c r="A407" t="s">
        <v>36</v>
      </c>
      <c r="B407">
        <v>2008</v>
      </c>
      <c r="C407">
        <v>0.363289032554309</v>
      </c>
      <c r="D407" s="6">
        <v>17357</v>
      </c>
      <c r="E407" s="6">
        <v>521.2</v>
      </c>
      <c r="F407" s="2">
        <v>0.279785719129314</v>
      </c>
      <c r="G407" s="2">
        <v>0.76964806401302</v>
      </c>
      <c r="H407" s="2">
        <v>0.00354358</v>
      </c>
      <c r="I407" s="6">
        <v>120.77</v>
      </c>
      <c r="J407" s="6">
        <v>854</v>
      </c>
      <c r="K407">
        <f t="shared" si="6"/>
        <v>0.141416861826698</v>
      </c>
      <c r="L407" s="2">
        <v>243.3561254</v>
      </c>
      <c r="M407" s="2">
        <v>48</v>
      </c>
      <c r="N407" s="6">
        <v>52</v>
      </c>
      <c r="O407" s="6">
        <v>6.81</v>
      </c>
      <c r="P407" s="6">
        <v>4933.5</v>
      </c>
    </row>
    <row r="408" spans="1:16">
      <c r="A408" t="s">
        <v>36</v>
      </c>
      <c r="B408">
        <v>2009</v>
      </c>
      <c r="C408">
        <v>0.30470931710904</v>
      </c>
      <c r="D408" s="6">
        <v>18860</v>
      </c>
      <c r="E408" s="6">
        <v>575.2</v>
      </c>
      <c r="F408" s="2">
        <v>0.266864160957847</v>
      </c>
      <c r="G408" s="2">
        <v>0.760970190705425</v>
      </c>
      <c r="H408" s="2">
        <v>0.00365533</v>
      </c>
      <c r="I408" s="6">
        <v>127.56</v>
      </c>
      <c r="J408" s="6">
        <v>864</v>
      </c>
      <c r="K408">
        <f t="shared" si="6"/>
        <v>0.147638888888889</v>
      </c>
      <c r="L408" s="2">
        <v>246.1737892</v>
      </c>
      <c r="M408" s="2">
        <v>49.13</v>
      </c>
      <c r="N408" s="6">
        <v>55.4</v>
      </c>
      <c r="O408" s="6">
        <v>18.51</v>
      </c>
      <c r="P408" s="6">
        <v>5596.2</v>
      </c>
    </row>
    <row r="409" spans="1:16">
      <c r="A409" t="s">
        <v>36</v>
      </c>
      <c r="B409">
        <v>2010</v>
      </c>
      <c r="C409">
        <v>0.306091081503552</v>
      </c>
      <c r="D409" s="6">
        <v>23323</v>
      </c>
      <c r="E409" s="6">
        <v>654.3</v>
      </c>
      <c r="F409" s="2">
        <v>0.261618411284336</v>
      </c>
      <c r="G409" s="2">
        <v>0.672363276416729</v>
      </c>
      <c r="H409" s="2">
        <v>0.0037863</v>
      </c>
      <c r="I409" s="6">
        <v>152.66</v>
      </c>
      <c r="J409" s="6">
        <v>869</v>
      </c>
      <c r="K409">
        <f t="shared" si="6"/>
        <v>0.175673187571922</v>
      </c>
      <c r="L409" s="2">
        <v>247.4501425</v>
      </c>
      <c r="M409" s="2">
        <v>49.8</v>
      </c>
      <c r="N409" s="6">
        <v>55.4</v>
      </c>
      <c r="O409" s="6">
        <v>14.89</v>
      </c>
      <c r="P409" s="6">
        <v>5538.7</v>
      </c>
    </row>
    <row r="410" spans="1:16">
      <c r="A410" t="s">
        <v>36</v>
      </c>
      <c r="B410">
        <v>2011</v>
      </c>
      <c r="C410">
        <v>0.23509698912099</v>
      </c>
      <c r="D410" s="6">
        <v>28014</v>
      </c>
      <c r="E410" s="6">
        <v>806.4</v>
      </c>
      <c r="F410" s="2">
        <v>0.272465297507915</v>
      </c>
      <c r="G410" s="2">
        <v>0.649809237762805</v>
      </c>
      <c r="H410" s="2">
        <v>0.00393998</v>
      </c>
      <c r="I410" s="6">
        <v>172.91</v>
      </c>
      <c r="J410" s="6">
        <v>890</v>
      </c>
      <c r="K410">
        <f t="shared" si="6"/>
        <v>0.194280898876404</v>
      </c>
      <c r="L410" s="2">
        <v>253.4501425</v>
      </c>
      <c r="M410" s="2">
        <v>50.34</v>
      </c>
      <c r="N410" s="6">
        <v>55.4</v>
      </c>
      <c r="O410" s="6">
        <v>23.97</v>
      </c>
      <c r="P410" s="6">
        <v>5545.6</v>
      </c>
    </row>
    <row r="411" spans="1:16">
      <c r="A411" t="s">
        <v>36</v>
      </c>
      <c r="B411">
        <v>2012</v>
      </c>
      <c r="C411">
        <v>0.24371120876691</v>
      </c>
      <c r="D411" s="6">
        <v>30993</v>
      </c>
      <c r="E411" s="6">
        <v>937.9</v>
      </c>
      <c r="F411" s="2">
        <v>0.267871226787123</v>
      </c>
      <c r="G411" s="2">
        <v>0.605140890514089</v>
      </c>
      <c r="H411" s="2">
        <v>0.00419585</v>
      </c>
      <c r="I411" s="6">
        <v>192</v>
      </c>
      <c r="J411" s="6">
        <v>910</v>
      </c>
      <c r="K411">
        <f t="shared" si="6"/>
        <v>0.210989010989011</v>
      </c>
      <c r="L411" s="2">
        <v>259.3817664</v>
      </c>
      <c r="M411" s="2">
        <v>51.02</v>
      </c>
      <c r="N411" s="6">
        <v>55.4</v>
      </c>
      <c r="O411" s="6">
        <v>21.23</v>
      </c>
      <c r="P411" s="6">
        <v>4130.8</v>
      </c>
    </row>
    <row r="412" spans="1:16">
      <c r="A412" t="s">
        <v>36</v>
      </c>
      <c r="B412">
        <v>2013</v>
      </c>
      <c r="C412">
        <v>0.22531032949057</v>
      </c>
      <c r="D412" s="6">
        <v>34053</v>
      </c>
      <c r="E412" s="6">
        <v>1043.4</v>
      </c>
      <c r="F412" s="2">
        <v>0.24098976218749</v>
      </c>
      <c r="G412" s="2">
        <v>0.552007445681825</v>
      </c>
      <c r="H412" s="2">
        <v>0.00434304</v>
      </c>
      <c r="I412" s="6">
        <v>231.44</v>
      </c>
      <c r="J412" s="6">
        <v>920</v>
      </c>
      <c r="K412">
        <f t="shared" si="6"/>
        <v>0.251565217391304</v>
      </c>
      <c r="L412" s="2">
        <v>262.1680912</v>
      </c>
      <c r="M412" s="2">
        <v>52.28</v>
      </c>
      <c r="N412" s="6">
        <v>55.4</v>
      </c>
      <c r="O412" s="6">
        <v>23.18</v>
      </c>
      <c r="P412" s="6">
        <v>5636.8</v>
      </c>
    </row>
    <row r="413" spans="1:16">
      <c r="A413" t="s">
        <v>36</v>
      </c>
      <c r="B413">
        <v>2014</v>
      </c>
      <c r="C413">
        <v>0.207975872364026</v>
      </c>
      <c r="D413" s="6">
        <v>37166</v>
      </c>
      <c r="E413" s="6">
        <v>1161.5</v>
      </c>
      <c r="F413" s="2">
        <v>0.239634676717889</v>
      </c>
      <c r="G413" s="2">
        <v>0.527668889533198</v>
      </c>
      <c r="H413" s="2">
        <v>0.00452723</v>
      </c>
      <c r="I413" s="6">
        <v>244.55</v>
      </c>
      <c r="J413" s="6">
        <v>936</v>
      </c>
      <c r="K413">
        <f t="shared" si="6"/>
        <v>0.261271367521368</v>
      </c>
      <c r="L413" s="2">
        <v>266.5413105</v>
      </c>
      <c r="M413" s="2">
        <v>53.3</v>
      </c>
      <c r="N413" s="6">
        <v>57.4</v>
      </c>
      <c r="O413" s="6">
        <v>23.28</v>
      </c>
      <c r="P413" s="6">
        <v>4266</v>
      </c>
    </row>
    <row r="414" spans="1:16">
      <c r="A414" t="s">
        <v>36</v>
      </c>
      <c r="B414">
        <v>2015</v>
      </c>
      <c r="C414">
        <v>0.199415391244102</v>
      </c>
      <c r="D414" s="6">
        <v>39704</v>
      </c>
      <c r="E414" s="6">
        <v>1543.9</v>
      </c>
      <c r="F414" s="2">
        <v>0.23643618445718</v>
      </c>
      <c r="G414" s="2">
        <v>0.51309517433453</v>
      </c>
      <c r="H414" s="2">
        <v>0.0047838</v>
      </c>
      <c r="I414" s="6">
        <v>261</v>
      </c>
      <c r="J414" s="6">
        <v>945</v>
      </c>
      <c r="K414">
        <f t="shared" si="6"/>
        <v>0.276190476190476</v>
      </c>
      <c r="L414" s="2">
        <v>269.3703704</v>
      </c>
      <c r="M414" s="2">
        <v>54.91</v>
      </c>
      <c r="N414" s="6">
        <v>57.4</v>
      </c>
      <c r="O414" s="6">
        <v>31.54</v>
      </c>
      <c r="P414" s="6">
        <v>2184.9</v>
      </c>
    </row>
    <row r="415" spans="1:16">
      <c r="A415" t="s">
        <v>36</v>
      </c>
      <c r="B415">
        <v>2016</v>
      </c>
      <c r="C415">
        <v>0.176930018022134</v>
      </c>
      <c r="D415" s="6">
        <v>43009</v>
      </c>
      <c r="E415" s="6">
        <v>1684.5</v>
      </c>
      <c r="F415" s="2">
        <v>0.221016087232898</v>
      </c>
      <c r="G415" s="2">
        <v>0.485061855166007</v>
      </c>
      <c r="H415" s="2">
        <v>0.0048088</v>
      </c>
      <c r="I415" s="6">
        <v>287.73</v>
      </c>
      <c r="J415" s="6">
        <v>957</v>
      </c>
      <c r="K415">
        <f t="shared" si="6"/>
        <v>0.300658307210031</v>
      </c>
      <c r="L415" s="2">
        <v>272.7863248</v>
      </c>
      <c r="M415" s="2">
        <v>56.7</v>
      </c>
      <c r="N415" s="6">
        <v>57.4</v>
      </c>
      <c r="O415" s="6">
        <v>37.31</v>
      </c>
      <c r="P415" s="6">
        <v>5360</v>
      </c>
    </row>
    <row r="416" spans="1:16">
      <c r="A416" t="s">
        <v>36</v>
      </c>
      <c r="B416">
        <v>2017</v>
      </c>
      <c r="C416">
        <v>0.164608992790305</v>
      </c>
      <c r="D416" s="6">
        <v>46631</v>
      </c>
      <c r="E416" s="6">
        <v>1929.4</v>
      </c>
      <c r="F416" s="2">
        <v>0.221545302946081</v>
      </c>
      <c r="G416" s="2">
        <v>0.462479155086159</v>
      </c>
      <c r="H416" s="2">
        <v>0.00483266</v>
      </c>
      <c r="I416" s="6">
        <v>299.32</v>
      </c>
      <c r="J416" s="6">
        <v>972</v>
      </c>
      <c r="K416">
        <f t="shared" si="6"/>
        <v>0.307942386831276</v>
      </c>
      <c r="L416" s="2">
        <v>276.7806268</v>
      </c>
      <c r="M416" s="2">
        <v>58.04</v>
      </c>
      <c r="N416" s="6">
        <v>57.4</v>
      </c>
      <c r="O416" s="6">
        <v>35.72</v>
      </c>
      <c r="P416" s="6">
        <v>4165.7</v>
      </c>
    </row>
    <row r="417" spans="1:16">
      <c r="A417" t="s">
        <v>36</v>
      </c>
      <c r="B417">
        <v>2018</v>
      </c>
      <c r="C417">
        <v>0.161018483429425</v>
      </c>
      <c r="D417" s="6">
        <v>50263</v>
      </c>
      <c r="E417" s="6">
        <v>2204.3</v>
      </c>
      <c r="F417" s="2">
        <v>0.214450078400228</v>
      </c>
      <c r="G417" s="2">
        <v>0.441892194595475</v>
      </c>
      <c r="H417" s="2">
        <v>0.00473636</v>
      </c>
      <c r="I417" s="6">
        <v>323.37</v>
      </c>
      <c r="J417" s="6">
        <v>982</v>
      </c>
      <c r="K417">
        <f t="shared" si="6"/>
        <v>0.329297352342159</v>
      </c>
      <c r="L417" s="2">
        <v>279.9088319</v>
      </c>
      <c r="M417" s="2">
        <v>59.13</v>
      </c>
      <c r="N417" s="6">
        <v>57.4</v>
      </c>
      <c r="O417" s="6">
        <v>61.24</v>
      </c>
      <c r="P417" s="6">
        <v>4495.7</v>
      </c>
    </row>
    <row r="418" spans="1:16">
      <c r="A418" t="s">
        <v>36</v>
      </c>
      <c r="B418">
        <v>2019</v>
      </c>
      <c r="C418">
        <v>0.145397343348797</v>
      </c>
      <c r="D418" s="6">
        <v>53929</v>
      </c>
      <c r="E418" s="6">
        <v>2511.5</v>
      </c>
      <c r="F418" s="2">
        <v>0.203309071809109</v>
      </c>
      <c r="G418" s="2">
        <v>0.424701733323329</v>
      </c>
      <c r="H418" s="2">
        <v>0.0048962</v>
      </c>
      <c r="I418" s="6">
        <v>345.68</v>
      </c>
      <c r="J418" s="6">
        <v>995</v>
      </c>
      <c r="K418">
        <f t="shared" si="6"/>
        <v>0.347417085427136</v>
      </c>
      <c r="L418" s="2">
        <v>283.5527066</v>
      </c>
      <c r="M418" s="2">
        <v>59.37</v>
      </c>
      <c r="N418" s="6">
        <v>57.4</v>
      </c>
      <c r="O418" s="6">
        <v>64.98</v>
      </c>
      <c r="P418" s="6">
        <v>2685.5</v>
      </c>
    </row>
    <row r="419" spans="1:16">
      <c r="A419" t="s">
        <v>36</v>
      </c>
      <c r="B419">
        <v>2020</v>
      </c>
      <c r="C419">
        <v>0.13719093287704</v>
      </c>
      <c r="D419" s="6">
        <v>55438</v>
      </c>
      <c r="E419" s="6">
        <v>2853.8</v>
      </c>
      <c r="F419" s="2">
        <v>0.192626926808235</v>
      </c>
      <c r="G419" s="2">
        <v>0.407933599223887</v>
      </c>
      <c r="H419" s="2">
        <v>0.0048196</v>
      </c>
      <c r="I419" s="6">
        <v>345.53</v>
      </c>
      <c r="J419" s="6">
        <v>1012</v>
      </c>
      <c r="K419">
        <f t="shared" si="6"/>
        <v>0.341432806324111</v>
      </c>
      <c r="L419" s="2">
        <v>288.4159544</v>
      </c>
      <c r="M419" s="2">
        <v>60.27</v>
      </c>
      <c r="N419" s="6">
        <v>57.4</v>
      </c>
      <c r="O419" s="6">
        <v>57.84</v>
      </c>
      <c r="P419" s="6">
        <v>2626.8</v>
      </c>
    </row>
    <row r="420" spans="1:16">
      <c r="A420" t="s">
        <v>36</v>
      </c>
      <c r="B420">
        <v>2021</v>
      </c>
      <c r="C420">
        <v>0.123803005867431</v>
      </c>
      <c r="D420" s="6">
        <v>63991</v>
      </c>
      <c r="E420" s="6">
        <v>3234.3</v>
      </c>
      <c r="F420" s="2">
        <v>0.190771974600636</v>
      </c>
      <c r="G420" s="2">
        <v>0.376099690964161</v>
      </c>
      <c r="H420" s="2">
        <v>0.00487195</v>
      </c>
      <c r="I420" s="6">
        <v>391.23</v>
      </c>
      <c r="J420" s="6">
        <v>1020</v>
      </c>
      <c r="K420">
        <f t="shared" si="6"/>
        <v>0.383558823529412</v>
      </c>
      <c r="L420" s="2">
        <v>290.7293447</v>
      </c>
      <c r="M420" s="2">
        <v>60.97</v>
      </c>
      <c r="N420" s="6">
        <v>57.4</v>
      </c>
      <c r="O420" s="6">
        <v>50.55</v>
      </c>
      <c r="P420" s="6">
        <v>3362.2</v>
      </c>
    </row>
    <row r="421" spans="1:16">
      <c r="A421" t="s">
        <v>36</v>
      </c>
      <c r="B421">
        <v>2022</v>
      </c>
      <c r="C421">
        <v>0.121147952243027</v>
      </c>
      <c r="D421" s="6">
        <v>67314</v>
      </c>
      <c r="E421" s="6">
        <v>3656</v>
      </c>
      <c r="F421" s="2">
        <v>0.192264820627145</v>
      </c>
      <c r="G421" s="2">
        <v>0.355519051949195</v>
      </c>
      <c r="H421" s="2">
        <v>0.01275145</v>
      </c>
      <c r="I421" s="6">
        <v>435.06</v>
      </c>
      <c r="J421" s="6">
        <v>1027</v>
      </c>
      <c r="K421">
        <f t="shared" si="6"/>
        <v>0.423622200584226</v>
      </c>
      <c r="L421" s="2">
        <v>292.5982906</v>
      </c>
      <c r="M421" s="2">
        <v>58.84</v>
      </c>
      <c r="N421" s="6">
        <v>57.4</v>
      </c>
      <c r="O421" s="6">
        <v>50.73</v>
      </c>
      <c r="P421" s="6">
        <v>3554.5</v>
      </c>
    </row>
    <row r="422" spans="1:16">
      <c r="A422" t="s">
        <v>37</v>
      </c>
      <c r="B422">
        <v>2003</v>
      </c>
      <c r="C422">
        <v>0.496688449380422</v>
      </c>
      <c r="D422" s="6">
        <v>9311</v>
      </c>
      <c r="E422" s="6">
        <v>1008.6</v>
      </c>
      <c r="F422" s="2">
        <v>0.445060406790029</v>
      </c>
      <c r="G422" s="2">
        <v>1.17334454809604</v>
      </c>
      <c r="H422" s="2">
        <v>0.01425838</v>
      </c>
      <c r="I422" s="6">
        <v>204.11</v>
      </c>
      <c r="J422" s="6">
        <v>2803</v>
      </c>
      <c r="K422">
        <f t="shared" si="6"/>
        <v>0.0728184088476632</v>
      </c>
      <c r="L422" s="2">
        <v>340.1929612</v>
      </c>
      <c r="M422" s="2">
        <v>41.9</v>
      </c>
      <c r="N422" s="6">
        <v>34.9</v>
      </c>
      <c r="O422" s="6">
        <v>24.53</v>
      </c>
      <c r="P422" s="6">
        <v>1807.5</v>
      </c>
    </row>
    <row r="423" spans="1:16">
      <c r="A423" t="s">
        <v>37</v>
      </c>
      <c r="B423">
        <v>2004</v>
      </c>
      <c r="C423">
        <v>0.45749093326554</v>
      </c>
      <c r="D423" s="6">
        <v>10934</v>
      </c>
      <c r="E423" s="6">
        <v>1162.6</v>
      </c>
      <c r="F423" s="2">
        <v>0.455172413793103</v>
      </c>
      <c r="G423" s="2">
        <v>1.19954240889034</v>
      </c>
      <c r="H423" s="2">
        <v>0.01390984</v>
      </c>
      <c r="I423" s="6">
        <v>262.66</v>
      </c>
      <c r="J423" s="6">
        <v>2793</v>
      </c>
      <c r="K423">
        <f t="shared" si="6"/>
        <v>0.0940422484783387</v>
      </c>
      <c r="L423" s="2">
        <v>338.9951456</v>
      </c>
      <c r="M423" s="2">
        <v>43.52</v>
      </c>
      <c r="N423" s="6">
        <v>34.9</v>
      </c>
      <c r="O423" s="6">
        <v>27.3</v>
      </c>
      <c r="P423" s="6">
        <v>1789.8</v>
      </c>
    </row>
    <row r="424" spans="1:16">
      <c r="A424" t="s">
        <v>37</v>
      </c>
      <c r="B424">
        <v>2005</v>
      </c>
      <c r="C424">
        <v>0.430569796860853</v>
      </c>
      <c r="D424" s="6">
        <v>12335</v>
      </c>
      <c r="E424" s="6">
        <v>1314.5</v>
      </c>
      <c r="F424" s="2">
        <v>0.452151722537989</v>
      </c>
      <c r="G424" s="2">
        <v>1.26430808490894</v>
      </c>
      <c r="H424" s="2">
        <v>0.01404338</v>
      </c>
      <c r="I424" s="6">
        <v>253.9</v>
      </c>
      <c r="J424" s="6">
        <v>2798</v>
      </c>
      <c r="K424">
        <f t="shared" si="6"/>
        <v>0.0907433881343817</v>
      </c>
      <c r="L424" s="2">
        <v>339.5631068</v>
      </c>
      <c r="M424" s="2">
        <v>45.2</v>
      </c>
      <c r="N424" s="6">
        <v>34.9</v>
      </c>
      <c r="O424" s="6">
        <v>30.51</v>
      </c>
      <c r="P424" s="6">
        <v>1827.4</v>
      </c>
    </row>
    <row r="425" spans="1:16">
      <c r="A425" t="s">
        <v>37</v>
      </c>
      <c r="B425">
        <v>2006</v>
      </c>
      <c r="C425">
        <v>0.383253920841549</v>
      </c>
      <c r="D425" s="6">
        <v>13915</v>
      </c>
      <c r="E425" s="6">
        <v>1492.1</v>
      </c>
      <c r="F425" s="2">
        <v>0.480322026510781</v>
      </c>
      <c r="G425" s="2">
        <v>1.2109273645617</v>
      </c>
      <c r="H425" s="2">
        <v>0.01429021</v>
      </c>
      <c r="I425" s="6">
        <v>291.3</v>
      </c>
      <c r="J425" s="6">
        <v>2808</v>
      </c>
      <c r="K425">
        <f t="shared" si="6"/>
        <v>0.103739316239316</v>
      </c>
      <c r="L425" s="2">
        <v>340.776699</v>
      </c>
      <c r="M425" s="2">
        <v>46.7</v>
      </c>
      <c r="N425" s="6">
        <v>34.9</v>
      </c>
      <c r="O425" s="6">
        <v>34.25</v>
      </c>
      <c r="P425" s="6">
        <v>1356.8</v>
      </c>
    </row>
    <row r="426" spans="1:16">
      <c r="A426" t="s">
        <v>37</v>
      </c>
      <c r="B426">
        <v>2007</v>
      </c>
      <c r="C426">
        <v>0.326230134803854</v>
      </c>
      <c r="D426" s="6">
        <v>16966</v>
      </c>
      <c r="E426" s="6">
        <v>1814.7</v>
      </c>
      <c r="F426" s="2">
        <v>0.468966818286625</v>
      </c>
      <c r="G426" s="2">
        <v>1.09351248244492</v>
      </c>
      <c r="H426" s="2">
        <v>0.01380054</v>
      </c>
      <c r="I426" s="6">
        <v>374.55</v>
      </c>
      <c r="J426" s="6">
        <v>2816</v>
      </c>
      <c r="K426">
        <f t="shared" si="6"/>
        <v>0.1330078125</v>
      </c>
      <c r="L426" s="2">
        <v>341.7475728</v>
      </c>
      <c r="M426" s="2">
        <v>48.3</v>
      </c>
      <c r="N426" s="6">
        <v>34.9</v>
      </c>
      <c r="O426" s="6">
        <v>38.62</v>
      </c>
      <c r="P426" s="6">
        <v>2357.6</v>
      </c>
    </row>
    <row r="427" spans="1:16">
      <c r="A427" t="s">
        <v>37</v>
      </c>
      <c r="B427">
        <v>2008</v>
      </c>
      <c r="C427">
        <v>0.318419330614721</v>
      </c>
      <c r="D427" s="6">
        <v>20865</v>
      </c>
      <c r="E427" s="6">
        <v>2159.2</v>
      </c>
      <c r="F427" s="2">
        <v>0.449495719976269</v>
      </c>
      <c r="G427" s="2">
        <v>1.09704212221375</v>
      </c>
      <c r="H427" s="2">
        <v>0.01410213</v>
      </c>
      <c r="I427" s="6">
        <v>457.25</v>
      </c>
      <c r="J427" s="6">
        <v>2839</v>
      </c>
      <c r="K427">
        <f t="shared" si="6"/>
        <v>0.161060232476224</v>
      </c>
      <c r="L427" s="2">
        <v>344.538835</v>
      </c>
      <c r="M427" s="2">
        <v>49.99</v>
      </c>
      <c r="N427" s="6">
        <v>34.9</v>
      </c>
      <c r="O427" s="6">
        <v>52.93</v>
      </c>
      <c r="P427" s="6">
        <v>2040.3</v>
      </c>
    </row>
    <row r="428" spans="1:16">
      <c r="A428" t="s">
        <v>37</v>
      </c>
      <c r="B428">
        <v>2009</v>
      </c>
      <c r="C428">
        <v>0.316417091224959</v>
      </c>
      <c r="D428" s="6">
        <v>23346</v>
      </c>
      <c r="E428" s="6">
        <v>2420</v>
      </c>
      <c r="F428" s="2">
        <v>0.453572287707481</v>
      </c>
      <c r="G428" s="2">
        <v>1.05695212893914</v>
      </c>
      <c r="H428" s="2">
        <v>0.01458657</v>
      </c>
      <c r="I428" s="6">
        <v>474.32</v>
      </c>
      <c r="J428" s="6">
        <v>2859</v>
      </c>
      <c r="K428">
        <f t="shared" si="6"/>
        <v>0.165904162294509</v>
      </c>
      <c r="L428" s="2">
        <v>346.9660194</v>
      </c>
      <c r="M428" s="2">
        <v>51.59</v>
      </c>
      <c r="N428" s="6">
        <v>38.4</v>
      </c>
      <c r="O428" s="6">
        <v>50.05</v>
      </c>
      <c r="P428" s="6">
        <v>1600.3</v>
      </c>
    </row>
    <row r="429" spans="1:16">
      <c r="A429" t="s">
        <v>37</v>
      </c>
      <c r="B429">
        <v>2010</v>
      </c>
      <c r="C429">
        <v>0.30076820875513</v>
      </c>
      <c r="D429" s="6">
        <v>28084</v>
      </c>
      <c r="E429" s="6">
        <v>2792.3</v>
      </c>
      <c r="F429" s="2">
        <v>0.449344723692857</v>
      </c>
      <c r="G429" s="2">
        <v>0.973989808190644</v>
      </c>
      <c r="H429" s="2">
        <v>0.01491566</v>
      </c>
      <c r="I429" s="6">
        <v>504.29</v>
      </c>
      <c r="J429" s="6">
        <v>2885</v>
      </c>
      <c r="K429">
        <f t="shared" si="6"/>
        <v>0.174797227036395</v>
      </c>
      <c r="L429" s="2">
        <v>350.0752427</v>
      </c>
      <c r="M429" s="2">
        <v>53.02</v>
      </c>
      <c r="N429" s="6">
        <v>38.4</v>
      </c>
      <c r="O429" s="6">
        <v>69.01</v>
      </c>
      <c r="P429" s="6">
        <v>1616.8</v>
      </c>
    </row>
    <row r="430" spans="1:16">
      <c r="A430" t="s">
        <v>37</v>
      </c>
      <c r="B430">
        <v>2011</v>
      </c>
      <c r="C430">
        <v>0.238485957407076</v>
      </c>
      <c r="D430" s="6">
        <v>34864</v>
      </c>
      <c r="E430" s="6">
        <v>3433.3</v>
      </c>
      <c r="F430" s="2">
        <v>0.449877967169232</v>
      </c>
      <c r="G430" s="2">
        <v>0.865252135574538</v>
      </c>
      <c r="H430" s="2">
        <v>0.01524763</v>
      </c>
      <c r="I430" s="6">
        <v>582.17</v>
      </c>
      <c r="J430" s="6">
        <v>2944</v>
      </c>
      <c r="K430">
        <f t="shared" si="6"/>
        <v>0.197747961956522</v>
      </c>
      <c r="L430" s="2">
        <v>357.3337379</v>
      </c>
      <c r="M430" s="2">
        <v>54.98</v>
      </c>
      <c r="N430" s="6">
        <v>38.4</v>
      </c>
      <c r="O430" s="6">
        <v>100.81</v>
      </c>
      <c r="P430" s="6">
        <v>1773.3</v>
      </c>
    </row>
    <row r="431" spans="1:16">
      <c r="A431" t="s">
        <v>37</v>
      </c>
      <c r="B431">
        <v>2012</v>
      </c>
      <c r="C431">
        <v>0.22779316393133</v>
      </c>
      <c r="D431" s="6">
        <v>39180</v>
      </c>
      <c r="E431" s="6">
        <v>4003.8</v>
      </c>
      <c r="F431" s="2">
        <v>0.457776359590872</v>
      </c>
      <c r="G431" s="2">
        <v>0.800180243889818</v>
      </c>
      <c r="H431" s="2">
        <v>0.01457969</v>
      </c>
      <c r="I431" s="6">
        <v>536.5</v>
      </c>
      <c r="J431" s="6">
        <v>2975</v>
      </c>
      <c r="K431">
        <f t="shared" si="6"/>
        <v>0.180336134453782</v>
      </c>
      <c r="L431" s="2">
        <v>361.0291262</v>
      </c>
      <c r="M431" s="2">
        <v>56.64</v>
      </c>
      <c r="N431" s="6">
        <v>38.4</v>
      </c>
      <c r="O431" s="6">
        <v>128.69</v>
      </c>
      <c r="P431" s="6">
        <v>1626.5</v>
      </c>
    </row>
    <row r="432" spans="1:16">
      <c r="A432" t="s">
        <v>37</v>
      </c>
      <c r="B432">
        <v>2013</v>
      </c>
      <c r="C432">
        <v>0.230349333422173</v>
      </c>
      <c r="D432" s="6">
        <v>43527</v>
      </c>
      <c r="E432" s="6">
        <v>4561.4</v>
      </c>
      <c r="F432" s="2">
        <v>0.459685590592281</v>
      </c>
      <c r="G432" s="2">
        <v>0.617842119807179</v>
      </c>
      <c r="H432" s="2">
        <v>0.01522292</v>
      </c>
      <c r="I432" s="6">
        <v>630.03</v>
      </c>
      <c r="J432" s="6">
        <v>3011</v>
      </c>
      <c r="K432">
        <f t="shared" si="6"/>
        <v>0.209242776486217</v>
      </c>
      <c r="L432" s="2">
        <v>365.4162621</v>
      </c>
      <c r="M432" s="2">
        <v>58.29</v>
      </c>
      <c r="N432" s="6">
        <v>38.4</v>
      </c>
      <c r="O432" s="6">
        <v>114.55</v>
      </c>
      <c r="P432" s="6">
        <v>1603.9</v>
      </c>
    </row>
    <row r="433" spans="1:16">
      <c r="A433" t="s">
        <v>37</v>
      </c>
      <c r="B433">
        <v>2014</v>
      </c>
      <c r="C433">
        <v>0.216865936077849</v>
      </c>
      <c r="D433" s="6">
        <v>48311</v>
      </c>
      <c r="E433" s="6">
        <v>5145.3</v>
      </c>
      <c r="F433" s="2">
        <v>0.46325852377631</v>
      </c>
      <c r="G433" s="2">
        <v>0.587585306144778</v>
      </c>
      <c r="H433" s="2">
        <v>0.01558755</v>
      </c>
      <c r="I433" s="6">
        <v>675.8</v>
      </c>
      <c r="J433" s="6">
        <v>3043</v>
      </c>
      <c r="K433">
        <f t="shared" si="6"/>
        <v>0.222083470259612</v>
      </c>
      <c r="L433" s="2">
        <v>369.3543689</v>
      </c>
      <c r="M433" s="2">
        <v>59.74</v>
      </c>
      <c r="N433" s="6">
        <v>43.1</v>
      </c>
      <c r="O433" s="6">
        <v>105.51</v>
      </c>
      <c r="P433" s="6">
        <v>2155.9</v>
      </c>
    </row>
    <row r="434" spans="1:16">
      <c r="A434" t="s">
        <v>37</v>
      </c>
      <c r="B434">
        <v>2015</v>
      </c>
      <c r="C434">
        <v>0.222349012267942</v>
      </c>
      <c r="D434" s="6">
        <v>52480</v>
      </c>
      <c r="E434" s="6">
        <v>5665.4</v>
      </c>
      <c r="F434" s="2">
        <v>0.449362551042673</v>
      </c>
      <c r="G434" s="2">
        <v>0.482964994856769</v>
      </c>
      <c r="H434" s="2">
        <v>0.01537551</v>
      </c>
      <c r="I434" s="6">
        <v>680</v>
      </c>
      <c r="J434" s="6">
        <v>3070</v>
      </c>
      <c r="K434">
        <f t="shared" si="6"/>
        <v>0.221498371335505</v>
      </c>
      <c r="L434" s="2">
        <v>372.5752427</v>
      </c>
      <c r="M434" s="2">
        <v>61.47</v>
      </c>
      <c r="N434" s="6">
        <v>43.1</v>
      </c>
      <c r="O434" s="6">
        <v>140.73</v>
      </c>
      <c r="P434" s="6">
        <v>1518.7</v>
      </c>
    </row>
    <row r="435" spans="1:16">
      <c r="A435" t="s">
        <v>37</v>
      </c>
      <c r="B435">
        <v>2016</v>
      </c>
      <c r="C435">
        <v>0.180930002525228</v>
      </c>
      <c r="D435" s="6">
        <v>58327</v>
      </c>
      <c r="E435" s="6">
        <v>6378.1</v>
      </c>
      <c r="F435" s="2">
        <v>0.43086056705321</v>
      </c>
      <c r="G435" s="2">
        <v>0.442878544082561</v>
      </c>
      <c r="H435" s="2">
        <v>0.01548016</v>
      </c>
      <c r="I435" s="6">
        <v>701.19</v>
      </c>
      <c r="J435" s="6">
        <v>3110</v>
      </c>
      <c r="K435">
        <f t="shared" si="6"/>
        <v>0.225463022508039</v>
      </c>
      <c r="L435" s="2">
        <v>377.4223301</v>
      </c>
      <c r="M435" s="2">
        <v>63.33</v>
      </c>
      <c r="N435" s="6">
        <v>43.1</v>
      </c>
      <c r="O435" s="6">
        <v>136.2</v>
      </c>
      <c r="P435" s="6">
        <v>1994.7</v>
      </c>
    </row>
    <row r="436" spans="1:16">
      <c r="A436" t="s">
        <v>37</v>
      </c>
      <c r="B436">
        <v>2017</v>
      </c>
      <c r="C436">
        <v>0.177096365452685</v>
      </c>
      <c r="D436" s="6">
        <v>64171</v>
      </c>
      <c r="E436" s="6">
        <v>7019.7</v>
      </c>
      <c r="F436" s="2">
        <v>0.421353214095274</v>
      </c>
      <c r="G436" s="2">
        <v>0.412582289709613</v>
      </c>
      <c r="H436" s="2">
        <v>0.01573721</v>
      </c>
      <c r="I436" s="6">
        <v>728.1</v>
      </c>
      <c r="J436" s="6">
        <v>3144</v>
      </c>
      <c r="K436">
        <f t="shared" si="6"/>
        <v>0.231583969465649</v>
      </c>
      <c r="L436" s="2">
        <v>381.493932</v>
      </c>
      <c r="M436" s="2">
        <v>65</v>
      </c>
      <c r="N436" s="6">
        <v>43.1</v>
      </c>
      <c r="O436" s="6">
        <v>154.95</v>
      </c>
      <c r="P436" s="6">
        <v>2142.9</v>
      </c>
    </row>
    <row r="437" spans="1:16">
      <c r="A437" t="s">
        <v>37</v>
      </c>
      <c r="B437">
        <v>2018</v>
      </c>
      <c r="C437">
        <v>0.155862830693247</v>
      </c>
      <c r="D437" s="6">
        <v>68460</v>
      </c>
      <c r="E437" s="6">
        <v>7498.9</v>
      </c>
      <c r="F437" s="2">
        <v>0.409573482546506</v>
      </c>
      <c r="G437" s="2">
        <v>0.39636292892611</v>
      </c>
      <c r="H437" s="2">
        <v>0.01621392</v>
      </c>
      <c r="I437" s="6">
        <v>799.53</v>
      </c>
      <c r="J437" s="6">
        <v>3163</v>
      </c>
      <c r="K437">
        <f t="shared" si="6"/>
        <v>0.252775845716092</v>
      </c>
      <c r="L437" s="2">
        <v>383.8762136</v>
      </c>
      <c r="M437" s="2">
        <v>66.61</v>
      </c>
      <c r="N437" s="6">
        <v>43.1</v>
      </c>
      <c r="O437" s="6">
        <v>160.19</v>
      </c>
      <c r="P437" s="6">
        <v>1697.2</v>
      </c>
    </row>
    <row r="438" spans="1:16">
      <c r="A438" t="s">
        <v>37</v>
      </c>
      <c r="B438">
        <v>2019</v>
      </c>
      <c r="C438">
        <v>0.151947695721594</v>
      </c>
      <c r="D438" s="6">
        <v>74337</v>
      </c>
      <c r="E438" s="6">
        <v>7958.7</v>
      </c>
      <c r="F438" s="2">
        <v>0.397868320497505</v>
      </c>
      <c r="G438" s="2">
        <v>0.325650899355243</v>
      </c>
      <c r="H438" s="2">
        <v>0.01600733</v>
      </c>
      <c r="I438" s="6">
        <v>811.55</v>
      </c>
      <c r="J438" s="6">
        <v>3188</v>
      </c>
      <c r="K438">
        <f t="shared" si="6"/>
        <v>0.254563989962359</v>
      </c>
      <c r="L438" s="2">
        <v>386.8737864</v>
      </c>
      <c r="M438" s="2">
        <v>68.24</v>
      </c>
      <c r="N438" s="6">
        <v>43.1</v>
      </c>
      <c r="O438" s="6">
        <v>172.95</v>
      </c>
      <c r="P438" s="6">
        <v>1600.1</v>
      </c>
    </row>
    <row r="439" spans="1:16">
      <c r="A439" t="s">
        <v>37</v>
      </c>
      <c r="B439">
        <v>2020</v>
      </c>
      <c r="C439">
        <v>0.162317445428911</v>
      </c>
      <c r="D439" s="6">
        <v>78294</v>
      </c>
      <c r="E439" s="6">
        <v>8397.4</v>
      </c>
      <c r="F439" s="2">
        <v>0.398124705487712</v>
      </c>
      <c r="G439" s="2">
        <v>0.304370762018098</v>
      </c>
      <c r="H439" s="2">
        <v>0.01580349</v>
      </c>
      <c r="I439" s="6">
        <v>840.52</v>
      </c>
      <c r="J439" s="6">
        <v>3209</v>
      </c>
      <c r="K439">
        <f t="shared" si="6"/>
        <v>0.26192583359302</v>
      </c>
      <c r="L439" s="2">
        <v>389.4308252</v>
      </c>
      <c r="M439" s="2">
        <v>69.46</v>
      </c>
      <c r="N439" s="6">
        <v>43.1</v>
      </c>
      <c r="O439" s="6">
        <v>179.71</v>
      </c>
      <c r="P439" s="6">
        <v>2397.7</v>
      </c>
    </row>
    <row r="440" spans="1:16">
      <c r="A440" t="s">
        <v>37</v>
      </c>
      <c r="B440">
        <v>2021</v>
      </c>
      <c r="C440">
        <v>0.140894960757525</v>
      </c>
      <c r="D440" s="6">
        <v>87450</v>
      </c>
      <c r="E440" s="6">
        <v>8813.4</v>
      </c>
      <c r="F440" s="2">
        <v>0.399514910621748</v>
      </c>
      <c r="G440" s="2">
        <v>0.286577056910743</v>
      </c>
      <c r="H440" s="2">
        <v>0.01613155</v>
      </c>
      <c r="I440" s="6">
        <v>991.43</v>
      </c>
      <c r="J440" s="6">
        <v>3212</v>
      </c>
      <c r="K440">
        <f t="shared" si="6"/>
        <v>0.308664383561644</v>
      </c>
      <c r="L440" s="2">
        <v>389.8580097</v>
      </c>
      <c r="M440" s="2">
        <v>70.32</v>
      </c>
      <c r="N440" s="6">
        <v>43.1</v>
      </c>
      <c r="O440" s="6">
        <v>163.75</v>
      </c>
      <c r="P440" s="6">
        <v>2338.6</v>
      </c>
    </row>
    <row r="441" spans="1:16">
      <c r="A441" t="s">
        <v>37</v>
      </c>
      <c r="B441">
        <v>2022</v>
      </c>
      <c r="C441">
        <v>0.137534694798016</v>
      </c>
      <c r="D441" s="6">
        <v>88953</v>
      </c>
      <c r="E441" s="6">
        <v>9206.1</v>
      </c>
      <c r="F441" s="2">
        <v>0.40145216107659</v>
      </c>
      <c r="G441" s="2">
        <v>0.275421744653095</v>
      </c>
      <c r="H441" s="2">
        <v>0.029276394</v>
      </c>
      <c r="I441" s="6">
        <v>1055.82</v>
      </c>
      <c r="J441" s="6">
        <v>3213</v>
      </c>
      <c r="K441">
        <f t="shared" si="6"/>
        <v>0.328608776844071</v>
      </c>
      <c r="L441" s="2">
        <v>389.9684466</v>
      </c>
      <c r="M441" s="2">
        <v>53.868</v>
      </c>
      <c r="N441" s="6">
        <v>43.1</v>
      </c>
      <c r="O441" s="6">
        <v>175.98</v>
      </c>
      <c r="P441" s="6">
        <v>1162.6</v>
      </c>
    </row>
    <row r="442" spans="1:16">
      <c r="A442" t="s">
        <v>38</v>
      </c>
      <c r="B442">
        <v>2003</v>
      </c>
      <c r="C442">
        <v>0.343532226132812</v>
      </c>
      <c r="D442" s="6">
        <v>6565</v>
      </c>
      <c r="E442" s="6">
        <v>2579.3</v>
      </c>
      <c r="F442" s="2">
        <v>0.377931989076353</v>
      </c>
      <c r="G442" s="2">
        <v>1.72150499420149</v>
      </c>
      <c r="H442" s="2">
        <v>0.04023442</v>
      </c>
      <c r="I442" s="6">
        <v>849.26</v>
      </c>
      <c r="J442" s="6">
        <v>8176</v>
      </c>
      <c r="K442">
        <f t="shared" si="6"/>
        <v>0.103872309197652</v>
      </c>
      <c r="L442" s="2">
        <v>168.1958445</v>
      </c>
      <c r="M442" s="2">
        <v>22.36</v>
      </c>
      <c r="N442" s="6">
        <v>34.3</v>
      </c>
      <c r="O442" s="6">
        <v>74.05</v>
      </c>
      <c r="P442" s="6">
        <v>3003.6</v>
      </c>
    </row>
    <row r="443" spans="1:16">
      <c r="A443" t="s">
        <v>38</v>
      </c>
      <c r="B443">
        <v>2004</v>
      </c>
      <c r="C443">
        <v>0.322595653418931</v>
      </c>
      <c r="D443" s="6">
        <v>7751</v>
      </c>
      <c r="E443" s="6">
        <v>2954.3</v>
      </c>
      <c r="F443" s="2">
        <v>0.387008248730964</v>
      </c>
      <c r="G443" s="2">
        <v>1.69733185279188</v>
      </c>
      <c r="H443" s="2">
        <v>0.03939863</v>
      </c>
      <c r="I443" s="6">
        <v>934.49</v>
      </c>
      <c r="J443" s="6">
        <v>8090</v>
      </c>
      <c r="K443">
        <f t="shared" si="6"/>
        <v>0.11551174289246</v>
      </c>
      <c r="L443" s="2">
        <v>166.4266612</v>
      </c>
      <c r="M443" s="2">
        <v>22.74</v>
      </c>
      <c r="N443" s="6">
        <v>34.3</v>
      </c>
      <c r="O443" s="6">
        <v>74.1</v>
      </c>
      <c r="P443" s="6">
        <v>2789.9</v>
      </c>
    </row>
    <row r="444" spans="1:16">
      <c r="A444" t="s">
        <v>38</v>
      </c>
      <c r="B444">
        <v>2005</v>
      </c>
      <c r="C444">
        <v>0.317120459704658</v>
      </c>
      <c r="D444" s="6">
        <v>8828</v>
      </c>
      <c r="E444" s="6">
        <v>3366.5</v>
      </c>
      <c r="F444" s="2">
        <v>0.411512111063244</v>
      </c>
      <c r="G444" s="2">
        <v>1.57049152989897</v>
      </c>
      <c r="H444" s="2">
        <v>0.03807306</v>
      </c>
      <c r="I444" s="6">
        <v>1018.77</v>
      </c>
      <c r="J444" s="6">
        <v>8212</v>
      </c>
      <c r="K444">
        <f t="shared" si="6"/>
        <v>0.124058694593278</v>
      </c>
      <c r="L444" s="2">
        <v>168.9364328</v>
      </c>
      <c r="M444" s="2">
        <v>33</v>
      </c>
      <c r="N444" s="6">
        <v>34.3</v>
      </c>
      <c r="O444" s="6">
        <v>73.88</v>
      </c>
      <c r="P444" s="6">
        <v>3569.6</v>
      </c>
    </row>
    <row r="445" spans="1:16">
      <c r="A445" t="s">
        <v>38</v>
      </c>
      <c r="B445">
        <v>2006</v>
      </c>
      <c r="C445">
        <v>0.364545780553804</v>
      </c>
      <c r="D445" s="6">
        <v>10371</v>
      </c>
      <c r="E445" s="6">
        <v>3686.8</v>
      </c>
      <c r="F445" s="2">
        <v>0.430633218359683</v>
      </c>
      <c r="G445" s="2">
        <v>1.47603800016481</v>
      </c>
      <c r="H445" s="2">
        <v>0.03736364</v>
      </c>
      <c r="I445" s="6">
        <v>1226.58</v>
      </c>
      <c r="J445" s="6">
        <v>8169</v>
      </c>
      <c r="K445">
        <f t="shared" si="6"/>
        <v>0.150150569225119</v>
      </c>
      <c r="L445" s="2">
        <v>168.0518412</v>
      </c>
      <c r="M445" s="2">
        <v>34.3</v>
      </c>
      <c r="N445" s="6">
        <v>34.3</v>
      </c>
      <c r="O445" s="6">
        <v>74.78</v>
      </c>
      <c r="P445" s="6">
        <v>2278.1</v>
      </c>
    </row>
    <row r="446" spans="1:16">
      <c r="A446" t="s">
        <v>38</v>
      </c>
      <c r="B446">
        <v>2007</v>
      </c>
      <c r="C446">
        <v>0.330991600610095</v>
      </c>
      <c r="D446" s="6">
        <v>12963</v>
      </c>
      <c r="E446" s="6">
        <v>4285.2</v>
      </c>
      <c r="F446" s="2">
        <v>0.436248473314966</v>
      </c>
      <c r="G446" s="2">
        <v>1.29568835742892</v>
      </c>
      <c r="H446" s="2">
        <v>0.03617473</v>
      </c>
      <c r="I446" s="6">
        <v>1262.92</v>
      </c>
      <c r="J446" s="6">
        <v>8127</v>
      </c>
      <c r="K446">
        <f t="shared" si="6"/>
        <v>0.155398055863172</v>
      </c>
      <c r="L446" s="2">
        <v>167.1878214</v>
      </c>
      <c r="M446" s="2">
        <v>35.6</v>
      </c>
      <c r="N446" s="6">
        <v>34.3</v>
      </c>
      <c r="O446" s="6">
        <v>71.16</v>
      </c>
      <c r="P446" s="6">
        <v>2822.6</v>
      </c>
    </row>
    <row r="447" spans="1:16">
      <c r="A447" t="s">
        <v>38</v>
      </c>
      <c r="B447">
        <v>2008</v>
      </c>
      <c r="C447">
        <v>0.323496206436154</v>
      </c>
      <c r="D447" s="6">
        <v>15685</v>
      </c>
      <c r="E447" s="6">
        <v>4937.9</v>
      </c>
      <c r="F447" s="2">
        <v>0.452054687132532</v>
      </c>
      <c r="G447" s="2">
        <v>1.18726580015992</v>
      </c>
      <c r="H447" s="2">
        <v>0.03522956</v>
      </c>
      <c r="I447" s="6">
        <v>1382.97</v>
      </c>
      <c r="J447" s="6">
        <v>8138</v>
      </c>
      <c r="K447">
        <f t="shared" si="6"/>
        <v>0.169939788645859</v>
      </c>
      <c r="L447" s="2">
        <v>167.4141123</v>
      </c>
      <c r="M447" s="2">
        <v>37.4</v>
      </c>
      <c r="N447" s="6">
        <v>34.3</v>
      </c>
      <c r="O447" s="6">
        <v>79.15</v>
      </c>
      <c r="P447" s="6">
        <v>3061.7</v>
      </c>
    </row>
    <row r="448" spans="1:16">
      <c r="A448" t="s">
        <v>38</v>
      </c>
      <c r="B448">
        <v>2009</v>
      </c>
      <c r="C448">
        <v>0.306733033429363</v>
      </c>
      <c r="D448" s="6">
        <v>17387</v>
      </c>
      <c r="E448" s="6">
        <v>5601.3</v>
      </c>
      <c r="F448" s="2">
        <v>0.468845573830564</v>
      </c>
      <c r="G448" s="2">
        <v>1.15019801840655</v>
      </c>
      <c r="H448" s="2">
        <v>0.03619632</v>
      </c>
      <c r="I448" s="6">
        <v>1578.78</v>
      </c>
      <c r="J448" s="6">
        <v>8185</v>
      </c>
      <c r="K448">
        <f t="shared" si="6"/>
        <v>0.192886988393403</v>
      </c>
      <c r="L448" s="2">
        <v>168.3809916</v>
      </c>
      <c r="M448" s="2">
        <v>38.7</v>
      </c>
      <c r="N448" s="6">
        <v>35.2</v>
      </c>
      <c r="O448" s="6">
        <v>114.47</v>
      </c>
      <c r="P448" s="6">
        <v>2857.5</v>
      </c>
    </row>
    <row r="449" spans="1:16">
      <c r="A449" t="s">
        <v>38</v>
      </c>
      <c r="B449">
        <v>2010</v>
      </c>
      <c r="C449">
        <v>0.294869570793582</v>
      </c>
      <c r="D449" s="6">
        <v>21230</v>
      </c>
      <c r="E449" s="6">
        <v>6638.5</v>
      </c>
      <c r="F449" s="2">
        <v>0.48088802192188</v>
      </c>
      <c r="G449" s="2">
        <v>1.03872497793879</v>
      </c>
      <c r="H449" s="2">
        <v>0.03688272</v>
      </c>
      <c r="I449" s="6">
        <v>1794.63</v>
      </c>
      <c r="J449" s="6">
        <v>8045</v>
      </c>
      <c r="K449">
        <f t="shared" si="6"/>
        <v>0.223073958980733</v>
      </c>
      <c r="L449" s="2">
        <v>165.49928</v>
      </c>
      <c r="M449" s="2">
        <v>40.18</v>
      </c>
      <c r="N449" s="6">
        <v>35.2</v>
      </c>
      <c r="O449" s="6">
        <v>112.99</v>
      </c>
      <c r="P449" s="6">
        <v>3173.5</v>
      </c>
    </row>
    <row r="450" spans="1:16">
      <c r="A450" t="s">
        <v>38</v>
      </c>
      <c r="B450">
        <v>2011</v>
      </c>
      <c r="C450">
        <v>0.246518382030785</v>
      </c>
      <c r="D450" s="6">
        <v>26136</v>
      </c>
      <c r="E450" s="6">
        <v>7967.5</v>
      </c>
      <c r="F450" s="2">
        <v>0.475723128227297</v>
      </c>
      <c r="G450" s="2">
        <v>0.935636956139642</v>
      </c>
      <c r="H450" s="2">
        <v>0.03724416</v>
      </c>
      <c r="I450" s="6">
        <v>1980.69</v>
      </c>
      <c r="J450" s="6">
        <v>8064</v>
      </c>
      <c r="K450">
        <f t="shared" si="6"/>
        <v>0.245621279761905</v>
      </c>
      <c r="L450" s="2">
        <v>165.8917918</v>
      </c>
      <c r="M450" s="2">
        <v>41.85</v>
      </c>
      <c r="N450" s="6">
        <v>35.2</v>
      </c>
      <c r="O450" s="6">
        <v>115.8</v>
      </c>
      <c r="P450" s="6">
        <v>2782.9</v>
      </c>
    </row>
    <row r="451" spans="1:16">
      <c r="A451" t="s">
        <v>38</v>
      </c>
      <c r="B451">
        <v>2012</v>
      </c>
      <c r="C451">
        <v>0.2337955208881</v>
      </c>
      <c r="D451" s="6">
        <v>29627</v>
      </c>
      <c r="E451" s="6">
        <v>9095.3</v>
      </c>
      <c r="F451" s="2">
        <v>0.469480486907668</v>
      </c>
      <c r="G451" s="2">
        <v>0.860072567969769</v>
      </c>
      <c r="H451" s="2">
        <v>0.03691553</v>
      </c>
      <c r="I451" s="6">
        <v>2002.4</v>
      </c>
      <c r="J451" s="6">
        <v>8085</v>
      </c>
      <c r="K451">
        <f t="shared" ref="K451:K514" si="7">I451/J451</f>
        <v>0.247668521954236</v>
      </c>
      <c r="L451" s="2">
        <v>166.3238017</v>
      </c>
      <c r="M451" s="2">
        <v>43.35</v>
      </c>
      <c r="N451" s="6">
        <v>35.2</v>
      </c>
      <c r="O451" s="6">
        <v>135.94</v>
      </c>
      <c r="P451" s="6">
        <v>3587.2</v>
      </c>
    </row>
    <row r="452" spans="1:16">
      <c r="A452" t="s">
        <v>38</v>
      </c>
      <c r="B452">
        <v>2013</v>
      </c>
      <c r="C452">
        <v>0.22446239297335</v>
      </c>
      <c r="D452" s="6">
        <v>32750</v>
      </c>
      <c r="E452" s="6">
        <v>10102.5</v>
      </c>
      <c r="F452" s="2">
        <v>0.468319631948111</v>
      </c>
      <c r="G452" s="2">
        <v>0.724489026321744</v>
      </c>
      <c r="H452" s="2">
        <v>0.03648121</v>
      </c>
      <c r="I452" s="6">
        <v>2631.36</v>
      </c>
      <c r="J452" s="6">
        <v>8109</v>
      </c>
      <c r="K452">
        <f t="shared" si="7"/>
        <v>0.324498705142434</v>
      </c>
      <c r="L452" s="2">
        <v>166.8175273</v>
      </c>
      <c r="M452" s="2">
        <v>44.96</v>
      </c>
      <c r="N452" s="6">
        <v>35.2</v>
      </c>
      <c r="O452" s="6">
        <v>159.95</v>
      </c>
      <c r="P452" s="6">
        <v>3052.9</v>
      </c>
    </row>
    <row r="453" spans="1:16">
      <c r="A453" t="s">
        <v>38</v>
      </c>
      <c r="B453">
        <v>2014</v>
      </c>
      <c r="C453">
        <v>0.212437799571673</v>
      </c>
      <c r="D453" s="6">
        <v>35563</v>
      </c>
      <c r="E453" s="6">
        <v>11174.2</v>
      </c>
      <c r="F453" s="2">
        <v>0.452824898844981</v>
      </c>
      <c r="G453" s="2">
        <v>0.688050035823933</v>
      </c>
      <c r="H453" s="2">
        <v>0.03621333</v>
      </c>
      <c r="I453" s="6">
        <v>3079.44</v>
      </c>
      <c r="J453" s="6">
        <v>8139</v>
      </c>
      <c r="K453">
        <f t="shared" si="7"/>
        <v>0.378356063398452</v>
      </c>
      <c r="L453" s="2">
        <v>167.4346842</v>
      </c>
      <c r="M453" s="2">
        <v>46.51</v>
      </c>
      <c r="N453" s="6">
        <v>38</v>
      </c>
      <c r="O453" s="6">
        <v>168.69</v>
      </c>
      <c r="P453" s="6">
        <v>3148.5</v>
      </c>
    </row>
    <row r="454" spans="1:16">
      <c r="A454" t="s">
        <v>38</v>
      </c>
      <c r="B454">
        <v>2015</v>
      </c>
      <c r="C454">
        <v>0.214005040736602</v>
      </c>
      <c r="D454" s="6">
        <v>37150</v>
      </c>
      <c r="E454" s="6">
        <v>12073.4</v>
      </c>
      <c r="F454" s="2">
        <v>0.434793355744513</v>
      </c>
      <c r="G454" s="2">
        <v>0.603322127743722</v>
      </c>
      <c r="H454" s="2">
        <v>0.03499555</v>
      </c>
      <c r="I454" s="6">
        <v>3130</v>
      </c>
      <c r="J454" s="6">
        <v>8196</v>
      </c>
      <c r="K454">
        <f t="shared" si="7"/>
        <v>0.381893606637384</v>
      </c>
      <c r="L454" s="2">
        <v>168.6072825</v>
      </c>
      <c r="M454" s="2">
        <v>48.27</v>
      </c>
      <c r="N454" s="6">
        <v>38</v>
      </c>
      <c r="O454" s="6">
        <v>169.31</v>
      </c>
      <c r="P454" s="6">
        <v>2717.2</v>
      </c>
    </row>
    <row r="455" spans="1:16">
      <c r="A455" t="s">
        <v>38</v>
      </c>
      <c r="B455">
        <v>2016</v>
      </c>
      <c r="C455">
        <v>0.18996654101339</v>
      </c>
      <c r="D455" s="6">
        <v>40297</v>
      </c>
      <c r="E455" s="6">
        <v>13183.4</v>
      </c>
      <c r="F455" s="2">
        <v>0.405875341370309</v>
      </c>
      <c r="G455" s="2">
        <v>0.56598820103505</v>
      </c>
      <c r="H455" s="2">
        <v>0.03516529</v>
      </c>
      <c r="I455" s="6">
        <v>3273.85</v>
      </c>
      <c r="J455" s="6">
        <v>8251</v>
      </c>
      <c r="K455">
        <f t="shared" si="7"/>
        <v>0.396782208217186</v>
      </c>
      <c r="L455" s="2">
        <v>169.7387369</v>
      </c>
      <c r="M455" s="2">
        <v>50</v>
      </c>
      <c r="N455" s="6">
        <v>38</v>
      </c>
      <c r="O455" s="6">
        <v>166.35</v>
      </c>
      <c r="P455" s="6">
        <v>2843.3</v>
      </c>
    </row>
    <row r="456" spans="1:16">
      <c r="A456" t="s">
        <v>38</v>
      </c>
      <c r="B456">
        <v>2017</v>
      </c>
      <c r="C456">
        <v>0.186564328372803</v>
      </c>
      <c r="D456" s="6">
        <v>45835</v>
      </c>
      <c r="E456" s="6">
        <v>14841.2</v>
      </c>
      <c r="F456" s="2">
        <v>0.384359888247228</v>
      </c>
      <c r="G456" s="2">
        <v>0.507293213841937</v>
      </c>
      <c r="H456" s="2">
        <v>0.03496019</v>
      </c>
      <c r="I456" s="6">
        <v>3480.38</v>
      </c>
      <c r="J456" s="6">
        <v>8289</v>
      </c>
      <c r="K456">
        <f t="shared" si="7"/>
        <v>0.419879358185547</v>
      </c>
      <c r="L456" s="2">
        <v>170.520469</v>
      </c>
      <c r="M456" s="2">
        <v>51.78</v>
      </c>
      <c r="N456" s="6">
        <v>38</v>
      </c>
      <c r="O456" s="6">
        <v>197.75</v>
      </c>
      <c r="P456" s="6">
        <v>2978.9</v>
      </c>
    </row>
    <row r="457" spans="1:16">
      <c r="A457" t="s">
        <v>38</v>
      </c>
      <c r="B457">
        <v>2018</v>
      </c>
      <c r="C457">
        <v>0.169629320851251</v>
      </c>
      <c r="D457" s="6">
        <v>51658</v>
      </c>
      <c r="E457" s="6">
        <v>16653.8</v>
      </c>
      <c r="F457" s="2">
        <v>0.374268392456313</v>
      </c>
      <c r="G457" s="2">
        <v>0.464219700201156</v>
      </c>
      <c r="H457" s="2">
        <v>0.0356438</v>
      </c>
      <c r="I457" s="6">
        <v>3687</v>
      </c>
      <c r="J457" s="6">
        <v>8321</v>
      </c>
      <c r="K457">
        <f t="shared" si="7"/>
        <v>0.443095781757</v>
      </c>
      <c r="L457" s="2">
        <v>171.1787698</v>
      </c>
      <c r="M457" s="2">
        <v>53.5</v>
      </c>
      <c r="N457" s="6">
        <v>38</v>
      </c>
      <c r="O457" s="6">
        <v>226.9</v>
      </c>
      <c r="P457" s="6">
        <v>3548.2</v>
      </c>
    </row>
    <row r="458" spans="1:16">
      <c r="A458" t="s">
        <v>38</v>
      </c>
      <c r="B458">
        <v>2019</v>
      </c>
      <c r="C458">
        <v>0.153863568793473</v>
      </c>
      <c r="D458" s="6">
        <v>55619</v>
      </c>
      <c r="E458" s="6">
        <v>18609.4</v>
      </c>
      <c r="F458" s="2">
        <v>0.370718103347871</v>
      </c>
      <c r="G458" s="2">
        <v>0.448431750633037</v>
      </c>
      <c r="H458" s="2">
        <v>0.0363368</v>
      </c>
      <c r="I458" s="6">
        <v>3923.88</v>
      </c>
      <c r="J458" s="6">
        <v>8351</v>
      </c>
      <c r="K458">
        <f t="shared" si="7"/>
        <v>0.469869476709376</v>
      </c>
      <c r="L458" s="2">
        <v>171.7959268</v>
      </c>
      <c r="M458" s="2">
        <v>55.36</v>
      </c>
      <c r="N458" s="6">
        <v>38</v>
      </c>
      <c r="O458" s="6">
        <v>267.01</v>
      </c>
      <c r="P458" s="6">
        <v>3288.9</v>
      </c>
    </row>
    <row r="459" spans="1:16">
      <c r="A459" t="s">
        <v>38</v>
      </c>
      <c r="B459">
        <v>2020</v>
      </c>
      <c r="C459">
        <v>0.146940770144409</v>
      </c>
      <c r="D459" s="6">
        <v>58009</v>
      </c>
      <c r="E459" s="6">
        <v>20710.9</v>
      </c>
      <c r="F459" s="2">
        <v>0.360928299272601</v>
      </c>
      <c r="G459" s="2">
        <v>0.436808270242631</v>
      </c>
      <c r="H459" s="2">
        <v>0.03814406</v>
      </c>
      <c r="I459" s="6">
        <v>4182.28</v>
      </c>
      <c r="J459" s="6">
        <v>8371</v>
      </c>
      <c r="K459">
        <f t="shared" si="7"/>
        <v>0.499615338669215</v>
      </c>
      <c r="L459" s="2">
        <v>172.2011932</v>
      </c>
      <c r="M459" s="2">
        <v>56.73</v>
      </c>
      <c r="N459" s="6">
        <v>38</v>
      </c>
      <c r="O459" s="6">
        <v>264.02</v>
      </c>
      <c r="P459" s="6">
        <v>3871.9</v>
      </c>
    </row>
    <row r="460" spans="1:16">
      <c r="A460" t="s">
        <v>38</v>
      </c>
      <c r="B460">
        <v>2021</v>
      </c>
      <c r="C460">
        <v>0.131917880008988</v>
      </c>
      <c r="D460" s="6">
        <v>64610</v>
      </c>
      <c r="E460" s="6">
        <v>22960.1</v>
      </c>
      <c r="F460" s="2">
        <v>0.368837819849135</v>
      </c>
      <c r="G460" s="2">
        <v>0.417271853276143</v>
      </c>
      <c r="H460" s="2">
        <v>0.0393966</v>
      </c>
      <c r="I460" s="6">
        <v>4530.33</v>
      </c>
      <c r="J460" s="6">
        <v>8372</v>
      </c>
      <c r="K460">
        <f t="shared" si="7"/>
        <v>0.541128762541806</v>
      </c>
      <c r="L460" s="2">
        <v>172.2279366</v>
      </c>
      <c r="M460" s="2">
        <v>57.82</v>
      </c>
      <c r="N460" s="6">
        <v>38</v>
      </c>
      <c r="O460" s="6">
        <v>218.55</v>
      </c>
      <c r="P460" s="6">
        <v>3493.4</v>
      </c>
    </row>
    <row r="461" spans="1:16">
      <c r="A461" t="s">
        <v>38</v>
      </c>
      <c r="B461">
        <v>2022</v>
      </c>
      <c r="C461">
        <v>0.139601655542748</v>
      </c>
      <c r="D461" s="6">
        <v>67610</v>
      </c>
      <c r="E461" s="6">
        <v>25358.1</v>
      </c>
      <c r="F461" s="2">
        <v>0.372813648682462</v>
      </c>
      <c r="G461" s="2">
        <v>0.397270535874766</v>
      </c>
      <c r="H461" s="2">
        <v>0.048212076</v>
      </c>
      <c r="I461" s="6">
        <v>4768.41</v>
      </c>
      <c r="J461" s="6">
        <v>8374</v>
      </c>
      <c r="K461">
        <f t="shared" si="7"/>
        <v>0.569430379746835</v>
      </c>
      <c r="L461" s="2">
        <v>172.2690804</v>
      </c>
      <c r="M461" s="2">
        <v>43.33</v>
      </c>
      <c r="N461" s="6">
        <v>38</v>
      </c>
      <c r="O461" s="6">
        <v>237.58</v>
      </c>
      <c r="P461" s="6">
        <v>2638.5</v>
      </c>
    </row>
    <row r="462" spans="1:16">
      <c r="A462" t="s">
        <v>39</v>
      </c>
      <c r="B462">
        <v>2003</v>
      </c>
      <c r="C462">
        <v>0.810914849804173</v>
      </c>
      <c r="D462" s="6">
        <v>3708</v>
      </c>
      <c r="E462" s="6">
        <v>912.6</v>
      </c>
      <c r="F462" s="2">
        <v>0.399370188943317</v>
      </c>
      <c r="G462" s="2">
        <v>3.8729811056683</v>
      </c>
      <c r="H462" s="2">
        <v>0.02115881</v>
      </c>
      <c r="I462" s="6">
        <v>640.98</v>
      </c>
      <c r="J462" s="6">
        <v>3870</v>
      </c>
      <c r="K462">
        <f t="shared" si="7"/>
        <v>0.165627906976744</v>
      </c>
      <c r="L462" s="2">
        <v>219.6174801</v>
      </c>
      <c r="M462" s="2">
        <v>24.77</v>
      </c>
      <c r="N462" s="6">
        <v>31.6</v>
      </c>
      <c r="O462" s="6">
        <v>17.47</v>
      </c>
      <c r="P462" s="6">
        <v>2454.3</v>
      </c>
    </row>
    <row r="463" spans="1:16">
      <c r="A463" t="s">
        <v>39</v>
      </c>
      <c r="B463">
        <v>2004</v>
      </c>
      <c r="C463">
        <v>0.775616518681782</v>
      </c>
      <c r="D463" s="6">
        <v>4244</v>
      </c>
      <c r="E463" s="6">
        <v>1058.4</v>
      </c>
      <c r="F463" s="2">
        <v>0.404389474960592</v>
      </c>
      <c r="G463" s="2">
        <v>3.65041833393961</v>
      </c>
      <c r="H463" s="2">
        <v>0.02108662</v>
      </c>
      <c r="I463" s="6">
        <v>720.46</v>
      </c>
      <c r="J463" s="6">
        <v>3904</v>
      </c>
      <c r="K463">
        <f t="shared" si="7"/>
        <v>0.184544057377049</v>
      </c>
      <c r="L463" s="2">
        <v>221.5493757</v>
      </c>
      <c r="M463" s="2">
        <v>26.28</v>
      </c>
      <c r="N463" s="6">
        <v>31.6</v>
      </c>
      <c r="O463" s="6">
        <v>19.33</v>
      </c>
      <c r="P463" s="6">
        <v>2538.4</v>
      </c>
    </row>
    <row r="464" spans="1:16">
      <c r="A464" t="s">
        <v>39</v>
      </c>
      <c r="B464">
        <v>2005</v>
      </c>
      <c r="C464">
        <v>0.758343314362694</v>
      </c>
      <c r="D464" s="6">
        <v>5218</v>
      </c>
      <c r="E464" s="6">
        <v>1242.9</v>
      </c>
      <c r="F464" s="2">
        <v>0.411309861333058</v>
      </c>
      <c r="G464" s="2">
        <v>3.31388215887417</v>
      </c>
      <c r="H464" s="2">
        <v>0.01966985</v>
      </c>
      <c r="I464" s="6">
        <v>797.65</v>
      </c>
      <c r="J464" s="6">
        <v>3730</v>
      </c>
      <c r="K464">
        <f t="shared" si="7"/>
        <v>0.213847184986595</v>
      </c>
      <c r="L464" s="2">
        <v>211.6912599</v>
      </c>
      <c r="M464" s="2">
        <v>26.87</v>
      </c>
      <c r="N464" s="6">
        <v>31.6</v>
      </c>
      <c r="O464" s="6">
        <v>21.52</v>
      </c>
      <c r="P464" s="6">
        <v>2244.4</v>
      </c>
    </row>
    <row r="465" spans="1:16">
      <c r="A465" t="s">
        <v>39</v>
      </c>
      <c r="B465">
        <v>2006</v>
      </c>
      <c r="C465">
        <v>0.650100635217443</v>
      </c>
      <c r="D465" s="6">
        <v>6103</v>
      </c>
      <c r="E465" s="6">
        <v>1408.5</v>
      </c>
      <c r="F465" s="2">
        <v>0.420917803983923</v>
      </c>
      <c r="G465" s="2">
        <v>3.11176184797491</v>
      </c>
      <c r="H465" s="2">
        <v>0.02052485</v>
      </c>
      <c r="I465" s="6">
        <v>986.36</v>
      </c>
      <c r="J465" s="6">
        <v>3690</v>
      </c>
      <c r="K465">
        <f t="shared" si="7"/>
        <v>0.267306233062331</v>
      </c>
      <c r="L465" s="2">
        <v>209.4211124</v>
      </c>
      <c r="M465" s="2">
        <v>27.46</v>
      </c>
      <c r="N465" s="6">
        <v>31.6</v>
      </c>
      <c r="O465" s="6">
        <v>24.12</v>
      </c>
      <c r="P465" s="6">
        <v>2176.1</v>
      </c>
    </row>
    <row r="466" spans="1:16">
      <c r="A466" t="s">
        <v>39</v>
      </c>
      <c r="B466">
        <v>2007</v>
      </c>
      <c r="C466">
        <v>0.645855223104294</v>
      </c>
      <c r="D466" s="6">
        <v>7778</v>
      </c>
      <c r="E466" s="6">
        <v>1560.8</v>
      </c>
      <c r="F466" s="2">
        <v>0.416927129060579</v>
      </c>
      <c r="G466" s="2">
        <v>2.70130289727831</v>
      </c>
      <c r="H466" s="2">
        <v>0.02055568</v>
      </c>
      <c r="I466" s="6">
        <v>1166.32</v>
      </c>
      <c r="J466" s="6">
        <v>3632</v>
      </c>
      <c r="K466">
        <f t="shared" si="7"/>
        <v>0.321123348017621</v>
      </c>
      <c r="L466" s="2">
        <v>206.1282633</v>
      </c>
      <c r="M466" s="2">
        <v>28.24</v>
      </c>
      <c r="N466" s="6">
        <v>31.6</v>
      </c>
      <c r="O466" s="6">
        <v>27.23</v>
      </c>
      <c r="P466" s="6">
        <v>2805.2</v>
      </c>
    </row>
    <row r="467" spans="1:16">
      <c r="A467" t="s">
        <v>39</v>
      </c>
      <c r="B467">
        <v>2008</v>
      </c>
      <c r="C467">
        <v>0.638571541718819</v>
      </c>
      <c r="D467" s="6">
        <v>9697</v>
      </c>
      <c r="E467" s="6">
        <v>1763.7</v>
      </c>
      <c r="F467" s="2">
        <v>0.410243972035954</v>
      </c>
      <c r="G467" s="2">
        <v>2.02140105578542</v>
      </c>
      <c r="H467" s="2">
        <v>0.01977227</v>
      </c>
      <c r="I467" s="6">
        <v>1211.03</v>
      </c>
      <c r="J467" s="6">
        <v>3596</v>
      </c>
      <c r="K467">
        <f t="shared" si="7"/>
        <v>0.336771412680756</v>
      </c>
      <c r="L467" s="2">
        <v>204.0851305</v>
      </c>
      <c r="M467" s="2">
        <v>29.11</v>
      </c>
      <c r="N467" s="6">
        <v>31.6</v>
      </c>
      <c r="O467" s="6">
        <v>40.44</v>
      </c>
      <c r="P467" s="6">
        <v>3019.7</v>
      </c>
    </row>
    <row r="468" spans="1:16">
      <c r="A468" t="s">
        <v>39</v>
      </c>
      <c r="B468">
        <v>2009</v>
      </c>
      <c r="C468">
        <v>0.66978559876093</v>
      </c>
      <c r="D468" s="6">
        <v>10814</v>
      </c>
      <c r="E468" s="6">
        <v>1946</v>
      </c>
      <c r="F468" s="2">
        <v>0.408354292529883</v>
      </c>
      <c r="G468" s="2">
        <v>1.96178079705448</v>
      </c>
      <c r="H468" s="2">
        <v>0.02050273</v>
      </c>
      <c r="I468" s="6">
        <v>1380.02</v>
      </c>
      <c r="J468" s="6">
        <v>3537</v>
      </c>
      <c r="K468">
        <f t="shared" si="7"/>
        <v>0.390166808029403</v>
      </c>
      <c r="L468" s="2">
        <v>200.737798</v>
      </c>
      <c r="M468" s="2">
        <v>29.89</v>
      </c>
      <c r="N468" s="6">
        <v>37.1</v>
      </c>
      <c r="O468" s="6">
        <v>55.31</v>
      </c>
      <c r="P468" s="6">
        <v>2397.7</v>
      </c>
    </row>
    <row r="469" spans="1:16">
      <c r="A469" t="s">
        <v>39</v>
      </c>
      <c r="B469">
        <v>2010</v>
      </c>
      <c r="C469">
        <v>0.645535419143589</v>
      </c>
      <c r="D469" s="6">
        <v>12882</v>
      </c>
      <c r="E469" s="6">
        <v>2181.4</v>
      </c>
      <c r="F469" s="2">
        <v>0.402898871431733</v>
      </c>
      <c r="G469" s="2">
        <v>1.80912369993361</v>
      </c>
      <c r="H469" s="2">
        <v>0.01989057</v>
      </c>
      <c r="I469" s="6">
        <v>1385.63</v>
      </c>
      <c r="J469" s="6">
        <v>3479</v>
      </c>
      <c r="K469">
        <f t="shared" si="7"/>
        <v>0.398283989652199</v>
      </c>
      <c r="L469" s="2">
        <v>197.4426788</v>
      </c>
      <c r="M469" s="2">
        <v>33.81</v>
      </c>
      <c r="N469" s="6">
        <v>37.1</v>
      </c>
      <c r="O469" s="6">
        <v>54.32</v>
      </c>
      <c r="P469" s="6">
        <v>2726.8</v>
      </c>
    </row>
    <row r="470" spans="1:16">
      <c r="A470" t="s">
        <v>39</v>
      </c>
      <c r="B470">
        <v>2011</v>
      </c>
      <c r="C470">
        <v>0.46771475535414</v>
      </c>
      <c r="D470" s="6">
        <v>16024</v>
      </c>
      <c r="E470" s="6">
        <v>2566.8</v>
      </c>
      <c r="F470" s="2">
        <v>0.402254434076501</v>
      </c>
      <c r="G470" s="2">
        <v>1.61478737801838</v>
      </c>
      <c r="H470" s="2">
        <v>0.02007684</v>
      </c>
      <c r="I470" s="6">
        <v>1379.26</v>
      </c>
      <c r="J470" s="6">
        <v>3530</v>
      </c>
      <c r="K470">
        <f t="shared" si="7"/>
        <v>0.390725212464589</v>
      </c>
      <c r="L470" s="2">
        <v>200.3405221</v>
      </c>
      <c r="M470" s="2">
        <v>35.03</v>
      </c>
      <c r="N470" s="6">
        <v>37.1</v>
      </c>
      <c r="O470" s="6">
        <v>55.45</v>
      </c>
      <c r="P470" s="6">
        <v>1802.1</v>
      </c>
    </row>
    <row r="471" spans="1:16">
      <c r="A471" t="s">
        <v>39</v>
      </c>
      <c r="B471">
        <v>2012</v>
      </c>
      <c r="C471">
        <v>0.464030811959396</v>
      </c>
      <c r="D471" s="6">
        <v>18947</v>
      </c>
      <c r="E471" s="6">
        <v>2910.9</v>
      </c>
      <c r="F471" s="2">
        <v>0.402954525229154</v>
      </c>
      <c r="G471" s="2">
        <v>1.46515677375337</v>
      </c>
      <c r="H471" s="2">
        <v>0.02110683</v>
      </c>
      <c r="I471" s="6">
        <v>1548.4</v>
      </c>
      <c r="J471" s="6">
        <v>3587</v>
      </c>
      <c r="K471">
        <f t="shared" si="7"/>
        <v>0.431669919152495</v>
      </c>
      <c r="L471" s="2">
        <v>203.5754824</v>
      </c>
      <c r="M471" s="2">
        <v>36.3</v>
      </c>
      <c r="N471" s="6">
        <v>37.1</v>
      </c>
      <c r="O471" s="6">
        <v>65.73</v>
      </c>
      <c r="P471" s="6">
        <v>2801.8</v>
      </c>
    </row>
    <row r="472" spans="1:16">
      <c r="A472" t="s">
        <v>39</v>
      </c>
      <c r="B472">
        <v>2013</v>
      </c>
      <c r="C472">
        <v>0.451616335544722</v>
      </c>
      <c r="D472" s="6">
        <v>22089</v>
      </c>
      <c r="E472" s="6">
        <v>3332.7</v>
      </c>
      <c r="F472" s="2">
        <v>0.397712307634421</v>
      </c>
      <c r="G472" s="2">
        <v>1.16629667256149</v>
      </c>
      <c r="H472" s="2">
        <v>0.02108196</v>
      </c>
      <c r="I472" s="6">
        <v>1678.12</v>
      </c>
      <c r="J472" s="6">
        <v>3632</v>
      </c>
      <c r="K472">
        <f t="shared" si="7"/>
        <v>0.462037444933921</v>
      </c>
      <c r="L472" s="2">
        <v>206.1293984</v>
      </c>
      <c r="M472" s="2">
        <v>37.89</v>
      </c>
      <c r="N472" s="6">
        <v>37.1</v>
      </c>
      <c r="O472" s="6">
        <v>66.44</v>
      </c>
      <c r="P472" s="6">
        <v>2174.2</v>
      </c>
    </row>
    <row r="473" spans="1:16">
      <c r="A473" t="s">
        <v>39</v>
      </c>
      <c r="B473">
        <v>2014</v>
      </c>
      <c r="C473">
        <v>0.441208450975709</v>
      </c>
      <c r="D473" s="6">
        <v>25101</v>
      </c>
      <c r="E473" s="6">
        <v>3982.3</v>
      </c>
      <c r="F473" s="2">
        <v>0.390533189434324</v>
      </c>
      <c r="G473" s="2">
        <v>1.0583968342218</v>
      </c>
      <c r="H473" s="2">
        <v>0.02109651</v>
      </c>
      <c r="I473" s="6">
        <v>1747.67</v>
      </c>
      <c r="J473" s="6">
        <v>3677</v>
      </c>
      <c r="K473">
        <f t="shared" si="7"/>
        <v>0.475297797117215</v>
      </c>
      <c r="L473" s="2">
        <v>208.6833144</v>
      </c>
      <c r="M473" s="2">
        <v>40.24</v>
      </c>
      <c r="N473" s="6">
        <v>43.8</v>
      </c>
      <c r="O473" s="6">
        <v>85.34</v>
      </c>
      <c r="P473" s="6">
        <v>3461.1</v>
      </c>
    </row>
    <row r="474" spans="1:16">
      <c r="A474" t="s">
        <v>39</v>
      </c>
      <c r="B474">
        <v>2015</v>
      </c>
      <c r="C474">
        <v>0.417391830195205</v>
      </c>
      <c r="D474" s="6">
        <v>28547</v>
      </c>
      <c r="E474" s="6">
        <v>4530.9</v>
      </c>
      <c r="F474" s="2">
        <v>0.382003604971065</v>
      </c>
      <c r="G474" s="2">
        <v>0.88644341144104</v>
      </c>
      <c r="H474" s="2">
        <v>0.02062437</v>
      </c>
      <c r="I474" s="6">
        <v>1815</v>
      </c>
      <c r="J474" s="6">
        <v>3708</v>
      </c>
      <c r="K474">
        <f t="shared" si="7"/>
        <v>0.489482200647249</v>
      </c>
      <c r="L474" s="2">
        <v>210.4426788</v>
      </c>
      <c r="M474" s="2">
        <v>42.96</v>
      </c>
      <c r="N474" s="6">
        <v>43.8</v>
      </c>
      <c r="O474" s="6">
        <v>96.49</v>
      </c>
      <c r="P474" s="6">
        <v>3278.7</v>
      </c>
    </row>
    <row r="475" spans="1:16">
      <c r="A475" t="s">
        <v>39</v>
      </c>
      <c r="B475">
        <v>2016</v>
      </c>
      <c r="C475">
        <v>0.313270443847194</v>
      </c>
      <c r="D475" s="6">
        <v>31589</v>
      </c>
      <c r="E475" s="6">
        <v>5195.2</v>
      </c>
      <c r="F475" s="2">
        <v>0.37894745768461</v>
      </c>
      <c r="G475" s="2">
        <v>0.814592449374173</v>
      </c>
      <c r="H475" s="2">
        <v>0.020784</v>
      </c>
      <c r="I475" s="6">
        <v>1903.99</v>
      </c>
      <c r="J475" s="6">
        <v>3758</v>
      </c>
      <c r="K475">
        <f t="shared" si="7"/>
        <v>0.506649813730708</v>
      </c>
      <c r="L475" s="2">
        <v>213.2803632</v>
      </c>
      <c r="M475" s="2">
        <v>45.56</v>
      </c>
      <c r="N475" s="6">
        <v>43.8</v>
      </c>
      <c r="O475" s="6">
        <v>127.09</v>
      </c>
      <c r="P475" s="6">
        <v>3009.5</v>
      </c>
    </row>
    <row r="476" spans="1:16">
      <c r="A476" t="s">
        <v>39</v>
      </c>
      <c r="B476">
        <v>2017</v>
      </c>
      <c r="C476">
        <v>0.296526635974394</v>
      </c>
      <c r="D476" s="6">
        <v>35988</v>
      </c>
      <c r="E476" s="6">
        <v>5832.6</v>
      </c>
      <c r="F476" s="2">
        <v>0.365362282623076</v>
      </c>
      <c r="G476" s="2">
        <v>0.723683243418055</v>
      </c>
      <c r="H476" s="2">
        <v>0.02195562</v>
      </c>
      <c r="I476" s="6">
        <v>1899.1</v>
      </c>
      <c r="J476" s="6">
        <v>3803</v>
      </c>
      <c r="K476">
        <f t="shared" si="7"/>
        <v>0.499368919274257</v>
      </c>
      <c r="L476" s="2">
        <v>215.8342792</v>
      </c>
      <c r="M476" s="2">
        <v>47.76</v>
      </c>
      <c r="N476" s="6">
        <v>43.8</v>
      </c>
      <c r="O476" s="6">
        <v>125.39</v>
      </c>
      <c r="P476" s="6">
        <v>2947.4</v>
      </c>
    </row>
    <row r="477" spans="1:16">
      <c r="A477" t="s">
        <v>39</v>
      </c>
      <c r="B477">
        <v>2018</v>
      </c>
      <c r="C477">
        <v>0.287602859588234</v>
      </c>
      <c r="D477" s="6">
        <v>40271</v>
      </c>
      <c r="E477" s="6">
        <v>6631.8</v>
      </c>
      <c r="F477" s="2">
        <v>0.358635333350702</v>
      </c>
      <c r="G477" s="2">
        <v>0.653674803949665</v>
      </c>
      <c r="H477" s="2">
        <v>0.02147944</v>
      </c>
      <c r="I477" s="6">
        <v>2015.98</v>
      </c>
      <c r="J477" s="6">
        <v>3822</v>
      </c>
      <c r="K477">
        <f t="shared" si="7"/>
        <v>0.527467294610152</v>
      </c>
      <c r="L477" s="2">
        <v>216.9125993</v>
      </c>
      <c r="M477" s="2">
        <v>49.54</v>
      </c>
      <c r="N477" s="6">
        <v>43.8</v>
      </c>
      <c r="O477" s="6">
        <v>134.38</v>
      </c>
      <c r="P477" s="6">
        <v>2726.2</v>
      </c>
    </row>
    <row r="478" spans="1:16">
      <c r="A478" t="s">
        <v>39</v>
      </c>
      <c r="B478">
        <v>2019</v>
      </c>
      <c r="C478">
        <v>0.258852386358837</v>
      </c>
      <c r="D478" s="6">
        <v>43727</v>
      </c>
      <c r="E478" s="6">
        <v>7533.1</v>
      </c>
      <c r="F478" s="2">
        <v>0.356097153727347</v>
      </c>
      <c r="G478" s="2">
        <v>0.621552479829212</v>
      </c>
      <c r="H478" s="2">
        <v>0.0212555</v>
      </c>
      <c r="I478" s="6">
        <v>2206.55</v>
      </c>
      <c r="J478" s="6">
        <v>3848</v>
      </c>
      <c r="K478">
        <f t="shared" si="7"/>
        <v>0.573427754677755</v>
      </c>
      <c r="L478" s="2">
        <v>218.3881952</v>
      </c>
      <c r="M478" s="2">
        <v>51.48</v>
      </c>
      <c r="N478" s="6">
        <v>43.8</v>
      </c>
      <c r="O478" s="6">
        <v>188.53</v>
      </c>
      <c r="P478" s="6">
        <v>3092.9</v>
      </c>
    </row>
    <row r="479" spans="1:16">
      <c r="A479" t="s">
        <v>39</v>
      </c>
      <c r="B479">
        <v>2020</v>
      </c>
      <c r="C479">
        <v>0.2344705503726</v>
      </c>
      <c r="D479" s="6">
        <v>46355</v>
      </c>
      <c r="E479" s="6">
        <v>8548.5</v>
      </c>
      <c r="F479" s="2">
        <v>0.350664038879308</v>
      </c>
      <c r="G479" s="2">
        <v>0.59469216814853</v>
      </c>
      <c r="H479" s="2">
        <v>0.0211157</v>
      </c>
      <c r="I479" s="6">
        <v>2305.44</v>
      </c>
      <c r="J479" s="6">
        <v>3858</v>
      </c>
      <c r="K479">
        <f t="shared" si="7"/>
        <v>0.597573872472784</v>
      </c>
      <c r="L479" s="2">
        <v>218.9477866</v>
      </c>
      <c r="M479" s="2">
        <v>53.15</v>
      </c>
      <c r="N479" s="6">
        <v>43.8</v>
      </c>
      <c r="O479" s="6">
        <v>146.15</v>
      </c>
      <c r="P479" s="6">
        <v>3448.2</v>
      </c>
    </row>
    <row r="480" spans="1:16">
      <c r="A480" t="s">
        <v>39</v>
      </c>
      <c r="B480">
        <v>2021</v>
      </c>
      <c r="C480">
        <v>0.252449387136541</v>
      </c>
      <c r="D480" s="6">
        <v>50476</v>
      </c>
      <c r="E480" s="6">
        <v>9691.2</v>
      </c>
      <c r="F480" s="2">
        <v>0.352055132435016</v>
      </c>
      <c r="G480" s="2">
        <v>0.578860760794713</v>
      </c>
      <c r="H480" s="2">
        <v>0.02096741</v>
      </c>
      <c r="I480" s="6">
        <v>2368.4</v>
      </c>
      <c r="J480" s="6">
        <v>3852</v>
      </c>
      <c r="K480">
        <f t="shared" si="7"/>
        <v>0.61484942886812</v>
      </c>
      <c r="L480" s="2">
        <v>218.61521</v>
      </c>
      <c r="M480" s="2">
        <v>54.33</v>
      </c>
      <c r="N480" s="6">
        <v>43.8</v>
      </c>
      <c r="O480" s="6">
        <v>158.74</v>
      </c>
      <c r="P480" s="6">
        <v>2831.1</v>
      </c>
    </row>
    <row r="481" spans="1:16">
      <c r="A481" t="s">
        <v>39</v>
      </c>
      <c r="B481">
        <v>2022</v>
      </c>
      <c r="C481">
        <v>0.233234695273233</v>
      </c>
      <c r="D481" s="6">
        <v>51921</v>
      </c>
      <c r="E481" s="6">
        <v>10976.1</v>
      </c>
      <c r="F481" s="2">
        <v>0.352746893070034</v>
      </c>
      <c r="G481" s="2">
        <v>0.544550271389023</v>
      </c>
      <c r="H481" s="2">
        <v>0.026054486</v>
      </c>
      <c r="I481" s="6">
        <v>2368.6</v>
      </c>
      <c r="J481" s="6">
        <v>3856</v>
      </c>
      <c r="K481">
        <f t="shared" si="7"/>
        <v>0.614263485477178</v>
      </c>
      <c r="L481" s="2">
        <v>218.8422247</v>
      </c>
      <c r="M481" s="2">
        <v>50.514</v>
      </c>
      <c r="N481" s="6">
        <v>43.8</v>
      </c>
      <c r="O481" s="6">
        <v>118</v>
      </c>
      <c r="P481" s="6">
        <v>2367.4</v>
      </c>
    </row>
    <row r="482" spans="1:16">
      <c r="A482" t="s">
        <v>40</v>
      </c>
      <c r="B482">
        <v>2003</v>
      </c>
      <c r="C482">
        <v>0.452478528988299</v>
      </c>
      <c r="D482" s="6">
        <v>6048</v>
      </c>
      <c r="E482" s="6">
        <v>1126.3</v>
      </c>
      <c r="F482" s="2">
        <v>0.402445507708666</v>
      </c>
      <c r="G482" s="2">
        <v>1.6898192450824</v>
      </c>
      <c r="H482" s="2">
        <v>0.01960938</v>
      </c>
      <c r="I482" s="6">
        <v>474.8</v>
      </c>
      <c r="J482" s="6">
        <v>4376</v>
      </c>
      <c r="K482">
        <f t="shared" si="7"/>
        <v>0.108500914076782</v>
      </c>
      <c r="L482" s="2">
        <v>114.1858038</v>
      </c>
      <c r="M482" s="2">
        <v>26.6</v>
      </c>
      <c r="N482" s="6">
        <v>47.5</v>
      </c>
      <c r="O482" s="6">
        <v>9.64</v>
      </c>
      <c r="P482" s="6">
        <v>4327.2</v>
      </c>
    </row>
    <row r="483" spans="1:16">
      <c r="A483" t="s">
        <v>40</v>
      </c>
      <c r="B483">
        <v>2004</v>
      </c>
      <c r="C483">
        <v>0.468817211595749</v>
      </c>
      <c r="D483" s="6">
        <v>7136</v>
      </c>
      <c r="E483" s="6">
        <v>1456.9</v>
      </c>
      <c r="F483" s="2">
        <v>0.40422140033159</v>
      </c>
      <c r="G483" s="2">
        <v>1.66107958168601</v>
      </c>
      <c r="H483" s="2">
        <v>0.02089446</v>
      </c>
      <c r="I483" s="6">
        <v>548.05</v>
      </c>
      <c r="J483" s="6">
        <v>4415</v>
      </c>
      <c r="K483">
        <f t="shared" si="7"/>
        <v>0.124133635334088</v>
      </c>
      <c r="L483" s="2">
        <v>115.2192067</v>
      </c>
      <c r="M483" s="2">
        <v>28.1</v>
      </c>
      <c r="N483" s="6">
        <v>47.5</v>
      </c>
      <c r="O483" s="6">
        <v>11.8</v>
      </c>
      <c r="P483" s="6">
        <v>4770.8</v>
      </c>
    </row>
    <row r="484" spans="1:16">
      <c r="A484" t="s">
        <v>40</v>
      </c>
      <c r="B484">
        <v>2005</v>
      </c>
      <c r="C484">
        <v>0.483299723081201</v>
      </c>
      <c r="D484" s="6">
        <v>7890</v>
      </c>
      <c r="E484" s="6">
        <v>1704.1</v>
      </c>
      <c r="F484" s="2">
        <v>0.396632072504789</v>
      </c>
      <c r="G484" s="2">
        <v>1.72227463761901</v>
      </c>
      <c r="H484" s="2">
        <v>0.0225084</v>
      </c>
      <c r="I484" s="6">
        <v>624.2</v>
      </c>
      <c r="J484" s="6">
        <v>4450</v>
      </c>
      <c r="K484">
        <f t="shared" si="7"/>
        <v>0.140269662921348</v>
      </c>
      <c r="L484" s="2">
        <v>116.1377871</v>
      </c>
      <c r="M484" s="2">
        <v>29.5</v>
      </c>
      <c r="N484" s="6">
        <v>47.5</v>
      </c>
      <c r="O484" s="6">
        <v>15.23</v>
      </c>
      <c r="P484" s="6">
        <v>4161.7</v>
      </c>
    </row>
    <row r="485" spans="1:16">
      <c r="A485" t="s">
        <v>40</v>
      </c>
      <c r="B485">
        <v>2006</v>
      </c>
      <c r="C485">
        <v>0.496004680113579</v>
      </c>
      <c r="D485" s="6">
        <v>9158</v>
      </c>
      <c r="E485" s="6">
        <v>1863.5</v>
      </c>
      <c r="F485" s="2">
        <v>0.409269807123475</v>
      </c>
      <c r="G485" s="2">
        <v>1.62333585938837</v>
      </c>
      <c r="H485" s="2">
        <v>0.02276911</v>
      </c>
      <c r="I485" s="6">
        <v>753.63</v>
      </c>
      <c r="J485" s="6">
        <v>4483</v>
      </c>
      <c r="K485">
        <f t="shared" si="7"/>
        <v>0.168108409547178</v>
      </c>
      <c r="L485" s="2">
        <v>116.9885177</v>
      </c>
      <c r="M485" s="2">
        <v>30.5</v>
      </c>
      <c r="N485" s="6">
        <v>47.5</v>
      </c>
      <c r="O485" s="6">
        <v>20.99</v>
      </c>
      <c r="P485" s="6">
        <v>3832.2</v>
      </c>
    </row>
    <row r="486" spans="1:16">
      <c r="A486" t="s">
        <v>40</v>
      </c>
      <c r="B486">
        <v>2007</v>
      </c>
      <c r="C486">
        <v>0.394242993182276</v>
      </c>
      <c r="D486" s="6">
        <v>11287</v>
      </c>
      <c r="E486" s="6">
        <v>2095.3</v>
      </c>
      <c r="F486" s="2">
        <v>0.405207389608855</v>
      </c>
      <c r="G486" s="2">
        <v>1.41278213258754</v>
      </c>
      <c r="H486" s="2">
        <v>0.02290336</v>
      </c>
      <c r="I486" s="6">
        <v>904.5</v>
      </c>
      <c r="J486" s="6">
        <v>4514</v>
      </c>
      <c r="K486">
        <f t="shared" si="7"/>
        <v>0.200376606114311</v>
      </c>
      <c r="L486" s="2">
        <v>117.7974948</v>
      </c>
      <c r="M486" s="2">
        <v>31.6</v>
      </c>
      <c r="N486" s="6">
        <v>47.5</v>
      </c>
      <c r="O486" s="6">
        <v>31.38</v>
      </c>
      <c r="P486" s="6">
        <v>5013.9</v>
      </c>
    </row>
    <row r="487" spans="1:16">
      <c r="A487" t="s">
        <v>40</v>
      </c>
      <c r="B487">
        <v>2008</v>
      </c>
      <c r="C487">
        <v>0.391328209661372</v>
      </c>
      <c r="D487" s="6">
        <v>13286</v>
      </c>
      <c r="E487" s="6">
        <v>2474.6</v>
      </c>
      <c r="F487" s="2">
        <v>0.411544726257355</v>
      </c>
      <c r="G487" s="2">
        <v>1.24837948342918</v>
      </c>
      <c r="H487" s="2">
        <v>0.02414687</v>
      </c>
      <c r="I487" s="6">
        <v>1078.52</v>
      </c>
      <c r="J487" s="6">
        <v>4543</v>
      </c>
      <c r="K487">
        <f t="shared" si="7"/>
        <v>0.237402597402597</v>
      </c>
      <c r="L487" s="2">
        <v>118.5542797</v>
      </c>
      <c r="M487" s="2">
        <v>33</v>
      </c>
      <c r="N487" s="6">
        <v>47.5</v>
      </c>
      <c r="O487" s="6">
        <v>58.46</v>
      </c>
      <c r="P487" s="6">
        <v>5111</v>
      </c>
    </row>
    <row r="488" spans="1:16">
      <c r="A488" t="s">
        <v>40</v>
      </c>
      <c r="B488">
        <v>2009</v>
      </c>
      <c r="C488">
        <v>0.37840311309002</v>
      </c>
      <c r="D488" s="6">
        <v>14427</v>
      </c>
      <c r="E488" s="6">
        <v>2723.5</v>
      </c>
      <c r="F488" s="2">
        <v>0.39629471890971</v>
      </c>
      <c r="G488" s="2">
        <v>1.2217084448771</v>
      </c>
      <c r="H488" s="2">
        <v>0.02435268</v>
      </c>
      <c r="I488" s="6">
        <v>1170.86</v>
      </c>
      <c r="J488" s="6">
        <v>4571</v>
      </c>
      <c r="K488">
        <f t="shared" si="7"/>
        <v>0.256149639028659</v>
      </c>
      <c r="L488" s="2">
        <v>119.2849687</v>
      </c>
      <c r="M488" s="2">
        <v>34</v>
      </c>
      <c r="N488" s="6">
        <v>50</v>
      </c>
      <c r="O488" s="6">
        <v>82.16</v>
      </c>
      <c r="P488" s="6">
        <v>3459.7</v>
      </c>
    </row>
    <row r="489" spans="1:16">
      <c r="A489" t="s">
        <v>40</v>
      </c>
      <c r="B489">
        <v>2010</v>
      </c>
      <c r="C489">
        <v>0.369492900964225</v>
      </c>
      <c r="D489" s="6">
        <v>16866</v>
      </c>
      <c r="E489" s="6">
        <v>3123.7</v>
      </c>
      <c r="F489" s="2">
        <v>0.422439982935374</v>
      </c>
      <c r="G489" s="2">
        <v>1.12137473659716</v>
      </c>
      <c r="H489" s="2">
        <v>0.02390711</v>
      </c>
      <c r="I489" s="6">
        <v>1365.03</v>
      </c>
      <c r="J489" s="6">
        <v>4602</v>
      </c>
      <c r="K489">
        <f t="shared" si="7"/>
        <v>0.296616688396349</v>
      </c>
      <c r="L489" s="2">
        <v>120.0835073</v>
      </c>
      <c r="M489" s="2">
        <v>34.7</v>
      </c>
      <c r="N489" s="6">
        <v>50</v>
      </c>
      <c r="O489" s="6">
        <v>86.41</v>
      </c>
      <c r="P489" s="6">
        <v>4233.1</v>
      </c>
    </row>
    <row r="490" spans="1:16">
      <c r="A490" t="s">
        <v>40</v>
      </c>
      <c r="B490">
        <v>2011</v>
      </c>
      <c r="C490">
        <v>0.371371677041046</v>
      </c>
      <c r="D490" s="6">
        <v>20653</v>
      </c>
      <c r="E490" s="6">
        <v>3821.4</v>
      </c>
      <c r="F490" s="2">
        <v>0.400226816897859</v>
      </c>
      <c r="G490" s="2">
        <v>1.0017746322101</v>
      </c>
      <c r="H490" s="2">
        <v>0.02560444</v>
      </c>
      <c r="I490" s="6">
        <v>1555.08</v>
      </c>
      <c r="J490" s="6">
        <v>4620</v>
      </c>
      <c r="K490">
        <f t="shared" si="7"/>
        <v>0.336597402597403</v>
      </c>
      <c r="L490" s="2">
        <v>120.5636743</v>
      </c>
      <c r="M490" s="2">
        <v>36.57</v>
      </c>
      <c r="N490" s="6">
        <v>50</v>
      </c>
      <c r="O490" s="6">
        <v>95.86</v>
      </c>
      <c r="P490" s="6">
        <v>3206.5</v>
      </c>
    </row>
    <row r="491" spans="1:16">
      <c r="A491" t="s">
        <v>40</v>
      </c>
      <c r="B491">
        <v>2012</v>
      </c>
      <c r="C491">
        <v>0.40275881813923</v>
      </c>
      <c r="D491" s="6">
        <v>23992</v>
      </c>
      <c r="E491" s="6">
        <v>4543.5</v>
      </c>
      <c r="F491" s="2">
        <v>0.401751761673906</v>
      </c>
      <c r="G491" s="2">
        <v>0.94019139618289</v>
      </c>
      <c r="H491" s="2">
        <v>0.02653406</v>
      </c>
      <c r="I491" s="6">
        <v>1533.9</v>
      </c>
      <c r="J491" s="6">
        <v>4631</v>
      </c>
      <c r="K491">
        <f t="shared" si="7"/>
        <v>0.331224357590153</v>
      </c>
      <c r="L491" s="2">
        <v>120.8507307</v>
      </c>
      <c r="M491" s="2">
        <v>38.47</v>
      </c>
      <c r="N491" s="6">
        <v>50</v>
      </c>
      <c r="O491" s="6">
        <v>101.12</v>
      </c>
      <c r="P491" s="6">
        <v>3637.9</v>
      </c>
    </row>
    <row r="492" spans="1:16">
      <c r="A492" t="s">
        <v>40</v>
      </c>
      <c r="B492">
        <v>2013</v>
      </c>
      <c r="C492">
        <v>0.371946594657472</v>
      </c>
      <c r="D492" s="6">
        <v>27665</v>
      </c>
      <c r="E492" s="6">
        <v>5244.6</v>
      </c>
      <c r="F492" s="2">
        <v>0.389887333827141</v>
      </c>
      <c r="G492" s="2">
        <v>0.785310514209972</v>
      </c>
      <c r="H492" s="2">
        <v>0.0273253</v>
      </c>
      <c r="I492" s="6">
        <v>2180.51</v>
      </c>
      <c r="J492" s="6">
        <v>4641</v>
      </c>
      <c r="K492">
        <f t="shared" si="7"/>
        <v>0.469836242189183</v>
      </c>
      <c r="L492" s="2">
        <v>121.111691</v>
      </c>
      <c r="M492" s="2">
        <v>39.99</v>
      </c>
      <c r="N492" s="6">
        <v>50</v>
      </c>
      <c r="O492" s="6">
        <v>105.29</v>
      </c>
      <c r="P492" s="6">
        <v>3652.2</v>
      </c>
    </row>
    <row r="493" spans="1:16">
      <c r="A493" t="s">
        <v>40</v>
      </c>
      <c r="B493">
        <v>2014</v>
      </c>
      <c r="C493">
        <v>0.343112478142634</v>
      </c>
      <c r="D493" s="6">
        <v>30217</v>
      </c>
      <c r="E493" s="6">
        <v>5750.9</v>
      </c>
      <c r="F493" s="2">
        <v>0.382895233483125</v>
      </c>
      <c r="G493" s="2">
        <v>0.744555858621107</v>
      </c>
      <c r="H493" s="2">
        <v>0.02748869</v>
      </c>
      <c r="I493" s="6">
        <v>2550.01</v>
      </c>
      <c r="J493" s="6">
        <v>4653</v>
      </c>
      <c r="K493">
        <f t="shared" si="7"/>
        <v>0.548035675908016</v>
      </c>
      <c r="L493" s="2">
        <v>121.4248434</v>
      </c>
      <c r="M493" s="2">
        <v>41.21</v>
      </c>
      <c r="N493" s="6">
        <v>55</v>
      </c>
      <c r="O493" s="6">
        <v>108.88</v>
      </c>
      <c r="P493" s="6">
        <v>3673.3</v>
      </c>
    </row>
    <row r="494" spans="1:16">
      <c r="A494" t="s">
        <v>40</v>
      </c>
      <c r="B494">
        <v>2015</v>
      </c>
      <c r="C494">
        <v>0.337432994322067</v>
      </c>
      <c r="D494" s="6">
        <v>32117</v>
      </c>
      <c r="E494" s="6">
        <v>6354.3</v>
      </c>
      <c r="F494" s="2">
        <v>0.367092245989305</v>
      </c>
      <c r="G494" s="2">
        <v>0.696858288770054</v>
      </c>
      <c r="H494" s="2">
        <v>0.02526843</v>
      </c>
      <c r="I494" s="6">
        <v>2553</v>
      </c>
      <c r="J494" s="6">
        <v>4663</v>
      </c>
      <c r="K494">
        <f t="shared" si="7"/>
        <v>0.547501608406605</v>
      </c>
      <c r="L494" s="2">
        <v>121.6858038</v>
      </c>
      <c r="M494" s="2">
        <v>42.93</v>
      </c>
      <c r="N494" s="6">
        <v>55</v>
      </c>
      <c r="O494" s="6">
        <v>134.08</v>
      </c>
      <c r="P494" s="6">
        <v>3959.3</v>
      </c>
    </row>
    <row r="495" spans="1:16">
      <c r="A495" t="s">
        <v>40</v>
      </c>
      <c r="B495">
        <v>2016</v>
      </c>
      <c r="C495">
        <v>0.313190497708476</v>
      </c>
      <c r="D495" s="6">
        <v>35051</v>
      </c>
      <c r="E495" s="6">
        <v>6912.8</v>
      </c>
      <c r="F495" s="2">
        <v>0.35111491233429</v>
      </c>
      <c r="G495" s="2">
        <v>0.655262997128719</v>
      </c>
      <c r="H495" s="2">
        <v>0.02360819</v>
      </c>
      <c r="I495" s="6">
        <v>2692.54</v>
      </c>
      <c r="J495" s="6">
        <v>4677</v>
      </c>
      <c r="K495">
        <f t="shared" si="7"/>
        <v>0.575698097070772</v>
      </c>
      <c r="L495" s="2">
        <v>122.0511482</v>
      </c>
      <c r="M495" s="2">
        <v>44.64</v>
      </c>
      <c r="N495" s="6">
        <v>55</v>
      </c>
      <c r="O495" s="6">
        <v>150.13</v>
      </c>
      <c r="P495" s="6">
        <v>4391.7</v>
      </c>
    </row>
    <row r="496" spans="1:16">
      <c r="A496" t="s">
        <v>40</v>
      </c>
      <c r="B496">
        <v>2017</v>
      </c>
      <c r="C496">
        <v>0.324053395534252</v>
      </c>
      <c r="D496" s="6">
        <v>39458</v>
      </c>
      <c r="E496" s="6">
        <v>7599.8</v>
      </c>
      <c r="F496" s="2">
        <v>0.341761332900573</v>
      </c>
      <c r="G496" s="2">
        <v>0.603916477334199</v>
      </c>
      <c r="H496" s="2">
        <v>0.02438471</v>
      </c>
      <c r="I496" s="6">
        <v>2955.06</v>
      </c>
      <c r="J496" s="6">
        <v>4693</v>
      </c>
      <c r="K496">
        <f t="shared" si="7"/>
        <v>0.629673982527168</v>
      </c>
      <c r="L496" s="2">
        <v>122.4686848</v>
      </c>
      <c r="M496" s="2">
        <v>46.29</v>
      </c>
      <c r="N496" s="6">
        <v>55</v>
      </c>
      <c r="O496" s="6">
        <v>179.48</v>
      </c>
      <c r="P496" s="6">
        <v>4602.4</v>
      </c>
    </row>
    <row r="497" spans="1:16">
      <c r="A497" t="s">
        <v>40</v>
      </c>
      <c r="B497">
        <v>2018</v>
      </c>
      <c r="C497">
        <v>0.312449904822266</v>
      </c>
      <c r="D497" s="6">
        <v>44446</v>
      </c>
      <c r="E497" s="6">
        <v>8562.4</v>
      </c>
      <c r="F497" s="2">
        <v>0.348050343380937</v>
      </c>
      <c r="G497" s="2">
        <v>0.555060678332998</v>
      </c>
      <c r="H497" s="2">
        <v>0.02433379</v>
      </c>
      <c r="I497" s="6">
        <v>3240.99</v>
      </c>
      <c r="J497" s="6">
        <v>4703</v>
      </c>
      <c r="K497">
        <f t="shared" si="7"/>
        <v>0.68913246863704</v>
      </c>
      <c r="L497" s="2">
        <v>122.7296451</v>
      </c>
      <c r="M497" s="2">
        <v>47.44</v>
      </c>
      <c r="N497" s="6">
        <v>55</v>
      </c>
      <c r="O497" s="6">
        <v>169.81</v>
      </c>
      <c r="P497" s="6">
        <v>4582.3</v>
      </c>
    </row>
    <row r="498" spans="1:16">
      <c r="A498" t="s">
        <v>40</v>
      </c>
      <c r="B498">
        <v>2019</v>
      </c>
      <c r="C498">
        <v>0.301595620008046</v>
      </c>
      <c r="D498" s="6">
        <v>49323</v>
      </c>
      <c r="E498" s="6">
        <v>9646.6</v>
      </c>
      <c r="F498" s="2">
        <v>0.347074983422179</v>
      </c>
      <c r="G498" s="2">
        <v>0.523514670295128</v>
      </c>
      <c r="H498" s="2">
        <v>0.02500237</v>
      </c>
      <c r="I498" s="6">
        <v>3465.63</v>
      </c>
      <c r="J498" s="6">
        <v>4714</v>
      </c>
      <c r="K498">
        <f t="shared" si="7"/>
        <v>0.735178192617734</v>
      </c>
      <c r="L498" s="2">
        <v>123.0167015</v>
      </c>
      <c r="M498" s="2">
        <v>48.67</v>
      </c>
      <c r="N498" s="6">
        <v>55</v>
      </c>
      <c r="O498" s="6">
        <v>205.16</v>
      </c>
      <c r="P498" s="6">
        <v>3166.4</v>
      </c>
    </row>
    <row r="499" spans="1:16">
      <c r="A499" t="s">
        <v>40</v>
      </c>
      <c r="B499">
        <v>2020</v>
      </c>
      <c r="C499">
        <v>0.294536432812441</v>
      </c>
      <c r="D499" s="6">
        <v>52047</v>
      </c>
      <c r="E499" s="6">
        <v>10867.8</v>
      </c>
      <c r="F499" s="2">
        <v>0.341570388952463</v>
      </c>
      <c r="G499" s="2">
        <v>0.528673179750526</v>
      </c>
      <c r="H499" s="2">
        <v>0.02697377</v>
      </c>
      <c r="I499" s="6">
        <v>3674.44</v>
      </c>
      <c r="J499" s="6">
        <v>4722</v>
      </c>
      <c r="K499">
        <f t="shared" si="7"/>
        <v>0.778153324862346</v>
      </c>
      <c r="L499" s="2">
        <v>123.2312109</v>
      </c>
      <c r="M499" s="2">
        <v>50.05</v>
      </c>
      <c r="N499" s="6">
        <v>55</v>
      </c>
      <c r="O499" s="6">
        <v>163.97</v>
      </c>
      <c r="P499" s="6">
        <v>3813.5</v>
      </c>
    </row>
    <row r="500" spans="1:16">
      <c r="A500" t="s">
        <v>40</v>
      </c>
      <c r="B500">
        <v>2021</v>
      </c>
      <c r="C500">
        <v>0.300452605149601</v>
      </c>
      <c r="D500" s="6">
        <v>57717</v>
      </c>
      <c r="E500" s="6">
        <v>12243.3</v>
      </c>
      <c r="F500" s="2">
        <v>0.351128063147974</v>
      </c>
      <c r="G500" s="2">
        <v>0.494313663407163</v>
      </c>
      <c r="H500" s="2">
        <v>0.02571906</v>
      </c>
      <c r="I500" s="6">
        <v>3770.23</v>
      </c>
      <c r="J500" s="6">
        <v>4690</v>
      </c>
      <c r="K500">
        <f t="shared" si="7"/>
        <v>0.803886993603412</v>
      </c>
      <c r="L500" s="2">
        <v>122.3903967</v>
      </c>
      <c r="M500" s="2">
        <v>51.05</v>
      </c>
      <c r="N500" s="6">
        <v>55</v>
      </c>
      <c r="O500" s="6">
        <v>136.1</v>
      </c>
      <c r="P500" s="6">
        <v>3433.5</v>
      </c>
    </row>
    <row r="501" spans="1:16">
      <c r="A501" t="s">
        <v>40</v>
      </c>
      <c r="B501">
        <v>2022</v>
      </c>
      <c r="C501">
        <v>0.336037350757047</v>
      </c>
      <c r="D501" s="6">
        <v>60868</v>
      </c>
      <c r="E501" s="6">
        <v>13792.4</v>
      </c>
      <c r="F501" s="2">
        <v>0.361647014940838</v>
      </c>
      <c r="G501" s="2">
        <v>0.488997604814783</v>
      </c>
      <c r="H501" s="2">
        <v>0.031204764</v>
      </c>
      <c r="I501" s="6">
        <v>3960.62</v>
      </c>
      <c r="J501" s="6">
        <v>4693</v>
      </c>
      <c r="K501">
        <f t="shared" si="7"/>
        <v>0.843942041338163</v>
      </c>
      <c r="L501" s="2">
        <v>122.4686848</v>
      </c>
      <c r="M501" s="2">
        <v>44.15</v>
      </c>
      <c r="N501" s="6">
        <v>55</v>
      </c>
      <c r="O501" s="6">
        <v>146.95</v>
      </c>
      <c r="P501" s="6">
        <v>3714.8</v>
      </c>
    </row>
    <row r="502" spans="1:16">
      <c r="A502" t="s">
        <v>41</v>
      </c>
      <c r="B502">
        <v>2003</v>
      </c>
      <c r="C502">
        <v>0.412407071835121</v>
      </c>
      <c r="D502" s="6">
        <v>7057</v>
      </c>
      <c r="E502" s="6">
        <v>1228.1</v>
      </c>
      <c r="F502" s="2">
        <v>0.471924875371952</v>
      </c>
      <c r="G502" s="2">
        <v>1.61146191598717</v>
      </c>
      <c r="H502" s="2">
        <v>0.02139922</v>
      </c>
      <c r="I502" s="6">
        <v>419.16</v>
      </c>
      <c r="J502" s="6">
        <v>3672</v>
      </c>
      <c r="K502">
        <f>I502/J502</f>
        <v>0.114150326797386</v>
      </c>
      <c r="L502" s="2">
        <v>178.5865759</v>
      </c>
      <c r="M502" s="2">
        <v>35.54</v>
      </c>
      <c r="N502" s="6">
        <v>37.3</v>
      </c>
      <c r="O502" s="6">
        <v>48.49</v>
      </c>
      <c r="P502" s="6">
        <v>1226.7</v>
      </c>
    </row>
    <row r="503" spans="1:16">
      <c r="A503" t="s">
        <v>41</v>
      </c>
      <c r="B503">
        <v>2004</v>
      </c>
      <c r="C503">
        <v>0.407304725297087</v>
      </c>
      <c r="D503" s="6">
        <v>8545</v>
      </c>
      <c r="E503" s="6">
        <v>1380.5</v>
      </c>
      <c r="F503" s="2">
        <v>0.479405398523046</v>
      </c>
      <c r="G503" s="2">
        <v>1.52023172905526</v>
      </c>
      <c r="H503" s="2">
        <v>0.02192966</v>
      </c>
      <c r="I503" s="6">
        <v>498.29</v>
      </c>
      <c r="J503" s="6">
        <v>3681</v>
      </c>
      <c r="K503">
        <f>I503/J503</f>
        <v>0.135368106492801</v>
      </c>
      <c r="L503" s="2">
        <v>179.0481518</v>
      </c>
      <c r="M503" s="2">
        <v>36.35</v>
      </c>
      <c r="N503" s="6">
        <v>37.3</v>
      </c>
      <c r="O503" s="6">
        <v>47.36</v>
      </c>
      <c r="P503" s="6">
        <v>835.1</v>
      </c>
    </row>
    <row r="504" spans="1:16">
      <c r="A504" t="s">
        <v>41</v>
      </c>
      <c r="B504">
        <v>2005</v>
      </c>
      <c r="C504">
        <v>0.392528505086485</v>
      </c>
      <c r="D504" s="6">
        <v>10357</v>
      </c>
      <c r="E504" s="6">
        <v>1552.8</v>
      </c>
      <c r="F504" s="2">
        <v>0.47359320968249</v>
      </c>
      <c r="G504" s="2">
        <v>1.42085822068532</v>
      </c>
      <c r="H504" s="2">
        <v>0.02085967</v>
      </c>
      <c r="I504" s="6">
        <v>548.8</v>
      </c>
      <c r="J504" s="6">
        <v>3690</v>
      </c>
      <c r="K504">
        <f>I504/J504</f>
        <v>0.148726287262873</v>
      </c>
      <c r="L504" s="2">
        <v>179.4839494</v>
      </c>
      <c r="M504" s="2">
        <v>37.23</v>
      </c>
      <c r="N504" s="6">
        <v>37.3</v>
      </c>
      <c r="O504" s="6">
        <v>48.61</v>
      </c>
      <c r="P504" s="6">
        <v>1322.7</v>
      </c>
    </row>
    <row r="505" spans="1:16">
      <c r="A505" t="s">
        <v>41</v>
      </c>
      <c r="B505">
        <v>2006</v>
      </c>
      <c r="C505">
        <v>0.440847695644758</v>
      </c>
      <c r="D505" s="6">
        <v>12439</v>
      </c>
      <c r="E505" s="6">
        <v>1752</v>
      </c>
      <c r="F505" s="2">
        <v>0.494168334929063</v>
      </c>
      <c r="G505" s="2">
        <v>1.28501392636435</v>
      </c>
      <c r="H505" s="2">
        <v>0.02048079</v>
      </c>
      <c r="I505" s="6">
        <v>584.7</v>
      </c>
      <c r="J505" s="6">
        <v>3699</v>
      </c>
      <c r="K505">
        <f>I505/J505</f>
        <v>0.158069748580697</v>
      </c>
      <c r="L505" s="2">
        <v>179.9246109</v>
      </c>
      <c r="M505" s="2">
        <v>39.12</v>
      </c>
      <c r="N505" s="6">
        <v>37.3</v>
      </c>
      <c r="O505" s="6">
        <v>47.23</v>
      </c>
      <c r="P505" s="6">
        <v>739.1</v>
      </c>
    </row>
    <row r="506" spans="1:16">
      <c r="A506" t="s">
        <v>41</v>
      </c>
      <c r="B506">
        <v>2007</v>
      </c>
      <c r="C506">
        <v>0.329455917795523</v>
      </c>
      <c r="D506" s="6">
        <v>15342</v>
      </c>
      <c r="E506" s="6">
        <v>2029.7</v>
      </c>
      <c r="F506" s="2">
        <v>0.504400014080045</v>
      </c>
      <c r="G506" s="2">
        <v>1.1685522193671</v>
      </c>
      <c r="H506" s="2">
        <v>0.02008216</v>
      </c>
      <c r="I506" s="6">
        <v>706.87</v>
      </c>
      <c r="J506" s="6">
        <v>3708</v>
      </c>
      <c r="K506">
        <f>I506/J506</f>
        <v>0.190633764832794</v>
      </c>
      <c r="L506" s="2">
        <v>180.3681907</v>
      </c>
      <c r="M506" s="2">
        <v>40.62</v>
      </c>
      <c r="N506" s="6">
        <v>37.3</v>
      </c>
      <c r="O506" s="6">
        <v>48.75</v>
      </c>
      <c r="P506" s="6">
        <v>1007.7</v>
      </c>
    </row>
    <row r="507" spans="1:16">
      <c r="A507" t="s">
        <v>41</v>
      </c>
      <c r="B507">
        <v>2008</v>
      </c>
      <c r="C507">
        <v>0.310526635488691</v>
      </c>
      <c r="D507" s="6">
        <v>19331</v>
      </c>
      <c r="E507" s="6">
        <v>2407.3</v>
      </c>
      <c r="F507" s="2">
        <v>0.510755384658252</v>
      </c>
      <c r="G507" s="2">
        <v>1.03332497422609</v>
      </c>
      <c r="H507" s="2">
        <v>0.02061218</v>
      </c>
      <c r="I507" s="6">
        <v>853</v>
      </c>
      <c r="J507" s="6">
        <v>3718</v>
      </c>
      <c r="K507">
        <f>I507/J507</f>
        <v>0.229424421732114</v>
      </c>
      <c r="L507" s="2">
        <v>180.8171206</v>
      </c>
      <c r="M507" s="2">
        <v>42.1</v>
      </c>
      <c r="N507" s="6">
        <v>37.3</v>
      </c>
      <c r="O507" s="6">
        <v>58.72</v>
      </c>
      <c r="P507" s="6">
        <v>809.6</v>
      </c>
    </row>
    <row r="508" spans="1:16">
      <c r="A508" t="s">
        <v>41</v>
      </c>
      <c r="B508">
        <v>2009</v>
      </c>
      <c r="C508">
        <v>0.297895197593812</v>
      </c>
      <c r="D508" s="6">
        <v>21485</v>
      </c>
      <c r="E508" s="6">
        <v>2663.2</v>
      </c>
      <c r="F508" s="2">
        <v>0.502325639550877</v>
      </c>
      <c r="G508" s="2">
        <v>1.00577658856185</v>
      </c>
      <c r="H508" s="2">
        <v>0.02022437</v>
      </c>
      <c r="I508" s="6">
        <v>908.94</v>
      </c>
      <c r="J508" s="6">
        <v>3727</v>
      </c>
      <c r="K508">
        <f>I508/J508</f>
        <v>0.24387979608264</v>
      </c>
      <c r="L508" s="2">
        <v>181.2582685</v>
      </c>
      <c r="M508" s="2">
        <v>43.5</v>
      </c>
      <c r="N508" s="6">
        <v>41.4</v>
      </c>
      <c r="O508" s="6">
        <v>79.5</v>
      </c>
      <c r="P508" s="6">
        <v>1105.6</v>
      </c>
    </row>
    <row r="509" spans="1:16">
      <c r="A509" t="s">
        <v>41</v>
      </c>
      <c r="B509">
        <v>2010</v>
      </c>
      <c r="C509">
        <v>0.296318476212814</v>
      </c>
      <c r="D509" s="6">
        <v>26388</v>
      </c>
      <c r="E509" s="6">
        <v>3161.5</v>
      </c>
      <c r="F509" s="2">
        <v>0.515124121399261</v>
      </c>
      <c r="G509" s="2">
        <v>0.902176695242352</v>
      </c>
      <c r="H509" s="2">
        <v>0.0204582</v>
      </c>
      <c r="I509" s="6">
        <v>1112.26</v>
      </c>
      <c r="J509" s="6">
        <v>3735</v>
      </c>
      <c r="K509">
        <f>I509/J509</f>
        <v>0.297793842034806</v>
      </c>
      <c r="L509" s="2">
        <v>181.6746109</v>
      </c>
      <c r="M509" s="2">
        <v>45.76</v>
      </c>
      <c r="N509" s="6">
        <v>41.4</v>
      </c>
      <c r="O509" s="6">
        <v>82.88</v>
      </c>
      <c r="P509" s="6">
        <v>1360.3</v>
      </c>
    </row>
    <row r="510" spans="1:16">
      <c r="A510" t="s">
        <v>41</v>
      </c>
      <c r="B510">
        <v>2011</v>
      </c>
      <c r="C510">
        <v>0.281990344205828</v>
      </c>
      <c r="D510" s="6">
        <v>32467</v>
      </c>
      <c r="E510" s="6">
        <v>3759</v>
      </c>
      <c r="F510" s="2">
        <v>0.532587001338798</v>
      </c>
      <c r="G510" s="2">
        <v>0.801718261040977</v>
      </c>
      <c r="H510" s="2">
        <v>0.02089207</v>
      </c>
      <c r="I510" s="6">
        <v>1222.47</v>
      </c>
      <c r="J510" s="6">
        <v>3765</v>
      </c>
      <c r="K510">
        <f>I510/J510</f>
        <v>0.324693227091633</v>
      </c>
      <c r="L510" s="2">
        <v>183.1225681</v>
      </c>
      <c r="M510" s="2">
        <v>47.35</v>
      </c>
      <c r="N510" s="6">
        <v>41.4</v>
      </c>
      <c r="O510" s="6">
        <v>96.13</v>
      </c>
      <c r="P510" s="6">
        <v>1616.6</v>
      </c>
    </row>
    <row r="511" spans="1:16">
      <c r="A511" t="s">
        <v>41</v>
      </c>
      <c r="B511">
        <v>2012</v>
      </c>
      <c r="C511">
        <v>0.275803536171293</v>
      </c>
      <c r="D511" s="6">
        <v>37453</v>
      </c>
      <c r="E511" s="6">
        <v>4442.2</v>
      </c>
      <c r="F511" s="2">
        <v>0.538260832673379</v>
      </c>
      <c r="G511" s="2">
        <v>0.751337113926915</v>
      </c>
      <c r="H511" s="2">
        <v>0.0215107</v>
      </c>
      <c r="I511" s="6">
        <v>1330.5</v>
      </c>
      <c r="J511" s="6">
        <v>3787</v>
      </c>
      <c r="K511">
        <f>I511/J511</f>
        <v>0.351333509374175</v>
      </c>
      <c r="L511" s="2">
        <v>184.192607</v>
      </c>
      <c r="M511" s="2">
        <v>49.71</v>
      </c>
      <c r="N511" s="6">
        <v>41.4</v>
      </c>
      <c r="O511" s="6">
        <v>94.14</v>
      </c>
      <c r="P511" s="6">
        <v>1041.9</v>
      </c>
    </row>
    <row r="512" spans="1:16">
      <c r="A512" t="s">
        <v>41</v>
      </c>
      <c r="B512">
        <v>2013</v>
      </c>
      <c r="C512">
        <v>0.282721078369186</v>
      </c>
      <c r="D512" s="6">
        <v>41906</v>
      </c>
      <c r="E512" s="6">
        <v>4962.9</v>
      </c>
      <c r="F512" s="2">
        <v>0.529254215549436</v>
      </c>
      <c r="G512" s="2">
        <v>0.667069045732896</v>
      </c>
      <c r="H512" s="2">
        <v>0.02156771</v>
      </c>
      <c r="I512" s="6">
        <v>1511.98</v>
      </c>
      <c r="J512" s="6">
        <v>3804</v>
      </c>
      <c r="K512">
        <f>I512/J512</f>
        <v>0.397471083070452</v>
      </c>
      <c r="L512" s="2">
        <v>185.0194553</v>
      </c>
      <c r="M512" s="2">
        <v>51.57</v>
      </c>
      <c r="N512" s="6">
        <v>41.4</v>
      </c>
      <c r="O512" s="6">
        <v>109.77</v>
      </c>
      <c r="P512" s="6">
        <v>941.3</v>
      </c>
    </row>
    <row r="513" spans="1:16">
      <c r="A513" t="s">
        <v>41</v>
      </c>
      <c r="B513">
        <v>2014</v>
      </c>
      <c r="C513">
        <v>0.280356781026789</v>
      </c>
      <c r="D513" s="6">
        <v>45610</v>
      </c>
      <c r="E513" s="6">
        <v>5584.3</v>
      </c>
      <c r="F513" s="2">
        <v>0.51975290906479</v>
      </c>
      <c r="G513" s="2">
        <v>0.644876310874874</v>
      </c>
      <c r="H513" s="2">
        <v>0.02203599</v>
      </c>
      <c r="I513" s="6">
        <v>1620.78</v>
      </c>
      <c r="J513" s="6">
        <v>3827</v>
      </c>
      <c r="K513">
        <f>I513/J513</f>
        <v>0.423511889208257</v>
      </c>
      <c r="L513" s="2">
        <v>186.1381323</v>
      </c>
      <c r="M513" s="2">
        <v>53.01</v>
      </c>
      <c r="N513" s="6">
        <v>43.1</v>
      </c>
      <c r="O513" s="6">
        <v>112.51</v>
      </c>
      <c r="P513" s="6">
        <v>932.8</v>
      </c>
    </row>
    <row r="514" spans="1:16">
      <c r="A514" t="s">
        <v>41</v>
      </c>
      <c r="B514">
        <v>2015</v>
      </c>
      <c r="C514">
        <v>0.30192959314908</v>
      </c>
      <c r="D514" s="6">
        <v>46654</v>
      </c>
      <c r="E514" s="6">
        <v>5813.5</v>
      </c>
      <c r="F514" s="2">
        <v>0.484088318769973</v>
      </c>
      <c r="G514" s="2">
        <v>0.656245111404116</v>
      </c>
      <c r="H514" s="2">
        <v>0.02145907</v>
      </c>
      <c r="I514" s="6">
        <v>1623</v>
      </c>
      <c r="J514" s="6">
        <v>3846</v>
      </c>
      <c r="K514">
        <f>I514/J514</f>
        <v>0.421996879875195</v>
      </c>
      <c r="L514" s="2">
        <v>187.0622568</v>
      </c>
      <c r="M514" s="2">
        <v>54.74</v>
      </c>
      <c r="N514" s="6">
        <v>43.1</v>
      </c>
      <c r="O514" s="6">
        <v>150.77</v>
      </c>
      <c r="P514" s="6">
        <v>881.1</v>
      </c>
    </row>
    <row r="515" spans="1:16">
      <c r="A515" t="s">
        <v>41</v>
      </c>
      <c r="B515">
        <v>2016</v>
      </c>
      <c r="C515">
        <v>0.240823053511091</v>
      </c>
      <c r="D515" s="6">
        <v>49341</v>
      </c>
      <c r="E515" s="6">
        <v>6334.7</v>
      </c>
      <c r="F515" s="2">
        <v>0.467635909229331</v>
      </c>
      <c r="G515" s="2">
        <v>0.63772590282372</v>
      </c>
      <c r="H515" s="2">
        <v>0.02271342</v>
      </c>
      <c r="I515" s="6">
        <v>1757.41</v>
      </c>
      <c r="J515" s="6">
        <v>3874</v>
      </c>
      <c r="K515">
        <f t="shared" ref="K515:K578" si="8">I515/J515</f>
        <v>0.453642230252969</v>
      </c>
      <c r="L515" s="2">
        <v>188.4241245</v>
      </c>
      <c r="M515" s="2">
        <v>56.39</v>
      </c>
      <c r="N515" s="6">
        <v>43.1</v>
      </c>
      <c r="O515" s="6">
        <v>126.79</v>
      </c>
      <c r="P515" s="6">
        <v>713.9</v>
      </c>
    </row>
    <row r="516" spans="1:16">
      <c r="A516" t="s">
        <v>41</v>
      </c>
      <c r="B516">
        <v>2017</v>
      </c>
      <c r="C516">
        <v>0.237497014815844</v>
      </c>
      <c r="D516" s="6">
        <v>55216</v>
      </c>
      <c r="E516" s="6">
        <v>7068.7</v>
      </c>
      <c r="F516" s="2">
        <v>0.471003795375696</v>
      </c>
      <c r="G516" s="2">
        <v>0.584394719072345</v>
      </c>
      <c r="H516" s="2">
        <v>0.02369739</v>
      </c>
      <c r="I516" s="6">
        <v>1814.03</v>
      </c>
      <c r="J516" s="6">
        <v>3904</v>
      </c>
      <c r="K516">
        <f t="shared" si="8"/>
        <v>0.464659323770492</v>
      </c>
      <c r="L516" s="2">
        <v>189.8832685</v>
      </c>
      <c r="M516" s="2">
        <v>58.07</v>
      </c>
      <c r="N516" s="6">
        <v>43.1</v>
      </c>
      <c r="O516" s="6">
        <v>162.52</v>
      </c>
      <c r="P516" s="6">
        <v>1174.5</v>
      </c>
    </row>
    <row r="517" spans="1:16">
      <c r="A517" t="s">
        <v>41</v>
      </c>
      <c r="B517">
        <v>2018</v>
      </c>
      <c r="C517">
        <v>0.213066505409346</v>
      </c>
      <c r="D517" s="6">
        <v>61115</v>
      </c>
      <c r="E517" s="6">
        <v>8007.6</v>
      </c>
      <c r="F517" s="2">
        <v>0.468438177421174</v>
      </c>
      <c r="G517" s="2">
        <v>0.538804355544046</v>
      </c>
      <c r="H517" s="2">
        <v>0.02310333</v>
      </c>
      <c r="I517" s="6">
        <v>1855.59</v>
      </c>
      <c r="J517" s="6">
        <v>3931</v>
      </c>
      <c r="K517">
        <f t="shared" si="8"/>
        <v>0.472040193335029</v>
      </c>
      <c r="L517" s="2">
        <v>191.1964981</v>
      </c>
      <c r="M517" s="2">
        <v>59.65</v>
      </c>
      <c r="N517" s="6">
        <v>43.1</v>
      </c>
      <c r="O517" s="6">
        <v>176.02</v>
      </c>
      <c r="P517" s="6">
        <v>964.8</v>
      </c>
    </row>
    <row r="518" spans="1:16">
      <c r="A518" t="s">
        <v>41</v>
      </c>
      <c r="B518">
        <v>2019</v>
      </c>
      <c r="C518">
        <v>0.198890817193933</v>
      </c>
      <c r="D518" s="6">
        <v>65506</v>
      </c>
      <c r="E518" s="6">
        <v>9070.6</v>
      </c>
      <c r="F518" s="2">
        <v>0.45669013538452</v>
      </c>
      <c r="G518" s="2">
        <v>0.52254082471349</v>
      </c>
      <c r="H518" s="2">
        <v>0.0263831</v>
      </c>
      <c r="I518" s="6">
        <v>2193.2</v>
      </c>
      <c r="J518" s="6">
        <v>3944</v>
      </c>
      <c r="K518">
        <f t="shared" si="8"/>
        <v>0.556085192697769</v>
      </c>
      <c r="L518" s="2">
        <v>191.8287938</v>
      </c>
      <c r="M518" s="2">
        <v>61.28</v>
      </c>
      <c r="N518" s="6">
        <v>43.1</v>
      </c>
      <c r="O518" s="6">
        <v>245.48</v>
      </c>
      <c r="P518" s="6">
        <v>1279.8</v>
      </c>
    </row>
    <row r="519" spans="1:16">
      <c r="A519" t="s">
        <v>41</v>
      </c>
      <c r="B519">
        <v>2020</v>
      </c>
      <c r="C519">
        <v>0.199061711865122</v>
      </c>
      <c r="D519" s="6">
        <v>65867</v>
      </c>
      <c r="E519" s="6">
        <v>10274.1</v>
      </c>
      <c r="F519" s="2">
        <v>0.431381443140451</v>
      </c>
      <c r="G519" s="2">
        <v>0.519420621893512</v>
      </c>
      <c r="H519" s="2">
        <v>0.02317934</v>
      </c>
      <c r="I519" s="6">
        <v>2379.41</v>
      </c>
      <c r="J519" s="6">
        <v>3955</v>
      </c>
      <c r="K519">
        <f t="shared" si="8"/>
        <v>0.601620733249052</v>
      </c>
      <c r="L519" s="2">
        <v>192.3487354</v>
      </c>
      <c r="M519" s="2">
        <v>62.66</v>
      </c>
      <c r="N519" s="6">
        <v>43.1</v>
      </c>
      <c r="O519" s="6">
        <v>190.34</v>
      </c>
      <c r="P519" s="6">
        <v>1062.4</v>
      </c>
    </row>
    <row r="520" spans="1:16">
      <c r="A520" t="s">
        <v>41</v>
      </c>
      <c r="B520">
        <v>2021</v>
      </c>
      <c r="C520">
        <v>0.188920691157515</v>
      </c>
      <c r="D520" s="6">
        <v>76171</v>
      </c>
      <c r="E520" s="6">
        <v>11636.7</v>
      </c>
      <c r="F520" s="2">
        <v>0.46541197873958</v>
      </c>
      <c r="G520" s="2">
        <v>0.481886148524154</v>
      </c>
      <c r="H520" s="2">
        <v>0.02364999</v>
      </c>
      <c r="I520" s="6">
        <v>2739.75</v>
      </c>
      <c r="J520" s="6">
        <v>3954</v>
      </c>
      <c r="K520">
        <f t="shared" si="8"/>
        <v>0.692905918057663</v>
      </c>
      <c r="L520" s="2">
        <v>192.3151751</v>
      </c>
      <c r="M520" s="2">
        <v>63.63</v>
      </c>
      <c r="N520" s="6">
        <v>43.1</v>
      </c>
      <c r="O520" s="6">
        <v>176.25</v>
      </c>
      <c r="P520" s="6">
        <v>2155.8</v>
      </c>
    </row>
    <row r="521" spans="1:16">
      <c r="A521" t="s">
        <v>41</v>
      </c>
      <c r="B521">
        <v>2022</v>
      </c>
      <c r="C521">
        <v>0.180872941741948</v>
      </c>
      <c r="D521" s="6">
        <v>83030</v>
      </c>
      <c r="E521" s="6">
        <v>13179.1</v>
      </c>
      <c r="F521" s="2">
        <v>0.486169891403516</v>
      </c>
      <c r="G521" s="2">
        <v>0.491240592629789</v>
      </c>
      <c r="H521" s="2">
        <v>0.05567408</v>
      </c>
      <c r="I521" s="6">
        <v>2921.75</v>
      </c>
      <c r="J521" s="6">
        <v>3956</v>
      </c>
      <c r="K521">
        <f t="shared" si="8"/>
        <v>0.738561678463094</v>
      </c>
      <c r="L521" s="2">
        <v>192.4124514</v>
      </c>
      <c r="M521" s="2">
        <v>53.522</v>
      </c>
      <c r="N521" s="6">
        <v>43.1</v>
      </c>
      <c r="O521" s="6">
        <v>232.01</v>
      </c>
      <c r="P521" s="6">
        <v>924.9</v>
      </c>
    </row>
    <row r="522" spans="1:16">
      <c r="A522" t="s">
        <v>42</v>
      </c>
      <c r="B522">
        <v>2003</v>
      </c>
      <c r="C522">
        <v>0.493204817491037</v>
      </c>
      <c r="D522" s="6">
        <v>5525</v>
      </c>
      <c r="E522" s="6">
        <v>668.4</v>
      </c>
      <c r="F522" s="2">
        <v>0.408743481677263</v>
      </c>
      <c r="G522" s="2">
        <v>2.51809414958211</v>
      </c>
      <c r="H522" s="2">
        <v>0.02109368</v>
      </c>
      <c r="I522" s="6">
        <v>404.87</v>
      </c>
      <c r="J522" s="6">
        <v>2537</v>
      </c>
      <c r="K522">
        <f t="shared" si="8"/>
        <v>0.159586125344896</v>
      </c>
      <c r="L522" s="2">
        <v>59.57243484</v>
      </c>
      <c r="M522" s="2">
        <v>28.1</v>
      </c>
      <c r="N522" s="6">
        <v>10.4</v>
      </c>
      <c r="O522" s="6">
        <v>25.8</v>
      </c>
      <c r="P522" s="6">
        <v>789</v>
      </c>
    </row>
    <row r="523" spans="1:16">
      <c r="A523" t="s">
        <v>42</v>
      </c>
      <c r="B523">
        <v>2004</v>
      </c>
      <c r="C523">
        <v>0.446815518990305</v>
      </c>
      <c r="D523" s="6">
        <v>6512</v>
      </c>
      <c r="E523" s="6">
        <v>775.5</v>
      </c>
      <c r="F523" s="2">
        <v>0.41140541848089</v>
      </c>
      <c r="G523" s="2">
        <v>2.36317126269956</v>
      </c>
      <c r="H523" s="2">
        <v>0.0207671</v>
      </c>
      <c r="I523" s="6">
        <v>455.34</v>
      </c>
      <c r="J523" s="6">
        <v>2541</v>
      </c>
      <c r="K523">
        <f t="shared" si="8"/>
        <v>0.179197166469894</v>
      </c>
      <c r="L523" s="2">
        <v>59.67316271</v>
      </c>
      <c r="M523" s="2">
        <v>29.49</v>
      </c>
      <c r="N523" s="6">
        <v>10.4</v>
      </c>
      <c r="O523" s="6">
        <v>27.56</v>
      </c>
      <c r="P523" s="6">
        <v>656.5</v>
      </c>
    </row>
    <row r="524" spans="1:16">
      <c r="A524" t="s">
        <v>42</v>
      </c>
      <c r="B524">
        <v>2005</v>
      </c>
      <c r="C524">
        <v>0.494434552681163</v>
      </c>
      <c r="D524" s="6">
        <v>7332</v>
      </c>
      <c r="E524" s="6">
        <v>893.2</v>
      </c>
      <c r="F524" s="2">
        <v>0.414137080338947</v>
      </c>
      <c r="G524" s="2">
        <v>2.34243269333905</v>
      </c>
      <c r="H524" s="2">
        <v>0.01977111</v>
      </c>
      <c r="I524" s="6">
        <v>506.17</v>
      </c>
      <c r="J524" s="6">
        <v>2545</v>
      </c>
      <c r="K524">
        <f t="shared" si="8"/>
        <v>0.198888015717092</v>
      </c>
      <c r="L524" s="2">
        <v>59.75815919</v>
      </c>
      <c r="M524" s="2">
        <v>30.02</v>
      </c>
      <c r="N524" s="6">
        <v>10.4</v>
      </c>
      <c r="O524" s="6">
        <v>29.44</v>
      </c>
      <c r="P524" s="6">
        <v>1042.4</v>
      </c>
    </row>
    <row r="525" spans="1:16">
      <c r="A525" t="s">
        <v>42</v>
      </c>
      <c r="B525">
        <v>2006</v>
      </c>
      <c r="C525">
        <v>0.521944964612353</v>
      </c>
      <c r="D525" s="6">
        <v>8653</v>
      </c>
      <c r="E525" s="6">
        <v>970</v>
      </c>
      <c r="F525" s="2">
        <v>0.441443486155243</v>
      </c>
      <c r="G525" s="2">
        <v>2.15299591466182</v>
      </c>
      <c r="H525" s="2">
        <v>0.01891514</v>
      </c>
      <c r="I525" s="6">
        <v>530.13</v>
      </c>
      <c r="J525" s="6">
        <v>2547</v>
      </c>
      <c r="K525">
        <f t="shared" si="8"/>
        <v>0.208138987043581</v>
      </c>
      <c r="L525" s="2">
        <v>59.79783987</v>
      </c>
      <c r="M525" s="2">
        <v>31.09</v>
      </c>
      <c r="N525" s="6">
        <v>10.4</v>
      </c>
      <c r="O525" s="6">
        <v>31.45</v>
      </c>
      <c r="P525" s="6">
        <v>709.9</v>
      </c>
    </row>
    <row r="526" spans="1:16">
      <c r="A526" t="s">
        <v>42</v>
      </c>
      <c r="B526">
        <v>2007</v>
      </c>
      <c r="C526">
        <v>0.480596443235993</v>
      </c>
      <c r="D526" s="6">
        <v>10501</v>
      </c>
      <c r="E526" s="6">
        <v>1094.8</v>
      </c>
      <c r="F526" s="2">
        <v>0.468804904489552</v>
      </c>
      <c r="G526" s="2">
        <v>1.90647078613884</v>
      </c>
      <c r="H526" s="2">
        <v>0.01888564</v>
      </c>
      <c r="I526" s="6">
        <v>618.85</v>
      </c>
      <c r="J526" s="6">
        <v>2548</v>
      </c>
      <c r="K526">
        <f t="shared" si="8"/>
        <v>0.242876766091052</v>
      </c>
      <c r="L526" s="2">
        <v>59.83071143</v>
      </c>
      <c r="M526" s="2">
        <v>32.25</v>
      </c>
      <c r="N526" s="6">
        <v>10.4</v>
      </c>
      <c r="O526" s="6">
        <v>33.6</v>
      </c>
      <c r="P526" s="6">
        <v>875.9</v>
      </c>
    </row>
    <row r="527" spans="1:16">
      <c r="A527" t="s">
        <v>42</v>
      </c>
      <c r="B527">
        <v>2008</v>
      </c>
      <c r="C527">
        <v>0.482713338825643</v>
      </c>
      <c r="D527" s="6">
        <v>12048</v>
      </c>
      <c r="E527" s="6">
        <v>1261.1</v>
      </c>
      <c r="F527" s="2">
        <v>0.465507699319595</v>
      </c>
      <c r="G527" s="2">
        <v>1.74040433636097</v>
      </c>
      <c r="H527" s="2">
        <v>0.01973103</v>
      </c>
      <c r="I527" s="6">
        <v>697.71</v>
      </c>
      <c r="J527" s="6">
        <v>2551</v>
      </c>
      <c r="K527">
        <f t="shared" si="8"/>
        <v>0.273504508036064</v>
      </c>
      <c r="L527" s="2">
        <v>59.8938718</v>
      </c>
      <c r="M527" s="2">
        <v>33.56</v>
      </c>
      <c r="N527" s="6">
        <v>10.4</v>
      </c>
      <c r="O527" s="6">
        <v>46.85</v>
      </c>
      <c r="P527" s="6">
        <v>715</v>
      </c>
    </row>
    <row r="528" spans="1:16">
      <c r="A528" t="s">
        <v>42</v>
      </c>
      <c r="B528">
        <v>2009</v>
      </c>
      <c r="C528">
        <v>0.443723422363356</v>
      </c>
      <c r="D528" s="6">
        <v>12802</v>
      </c>
      <c r="E528" s="6">
        <v>1406.4</v>
      </c>
      <c r="F528" s="2">
        <v>0.45075421472937</v>
      </c>
      <c r="G528" s="2">
        <v>1.67732460300462</v>
      </c>
      <c r="H528" s="2">
        <v>0.01927886</v>
      </c>
      <c r="I528" s="6">
        <v>696.65</v>
      </c>
      <c r="J528" s="6">
        <v>2555</v>
      </c>
      <c r="K528">
        <f t="shared" si="8"/>
        <v>0.2726614481409</v>
      </c>
      <c r="L528" s="2">
        <v>59.98849495</v>
      </c>
      <c r="M528" s="2">
        <v>34.89</v>
      </c>
      <c r="N528" s="6">
        <v>11.3</v>
      </c>
      <c r="O528" s="6">
        <v>53.15</v>
      </c>
      <c r="P528" s="6">
        <v>794.3</v>
      </c>
    </row>
    <row r="529" spans="1:16">
      <c r="A529" t="s">
        <v>42</v>
      </c>
      <c r="B529">
        <v>2010</v>
      </c>
      <c r="C529">
        <v>0.437045638445382</v>
      </c>
      <c r="D529" s="6">
        <v>15421</v>
      </c>
      <c r="E529" s="6">
        <v>1594.4</v>
      </c>
      <c r="F529" s="2">
        <v>0.484418185967492</v>
      </c>
      <c r="G529" s="2">
        <v>1.50192205289449</v>
      </c>
      <c r="H529" s="2">
        <v>0.01915364</v>
      </c>
      <c r="I529" s="6">
        <v>791.53</v>
      </c>
      <c r="J529" s="6">
        <v>2560</v>
      </c>
      <c r="K529">
        <f t="shared" si="8"/>
        <v>0.30919140625</v>
      </c>
      <c r="L529" s="2">
        <v>60.10753698</v>
      </c>
      <c r="M529" s="2">
        <v>36.12</v>
      </c>
      <c r="N529" s="6">
        <v>11.3</v>
      </c>
      <c r="O529" s="6">
        <v>68.31</v>
      </c>
      <c r="P529" s="6">
        <v>841.7</v>
      </c>
    </row>
    <row r="530" spans="1:16">
      <c r="A530" t="s">
        <v>42</v>
      </c>
      <c r="B530">
        <v>2011</v>
      </c>
      <c r="C530">
        <v>0.42457701582382</v>
      </c>
      <c r="D530" s="6">
        <v>18846</v>
      </c>
      <c r="E530" s="6">
        <v>1919.7</v>
      </c>
      <c r="F530" s="2">
        <v>0.475118852373933</v>
      </c>
      <c r="G530" s="2">
        <v>1.34858518964479</v>
      </c>
      <c r="H530" s="2">
        <v>0.01963698</v>
      </c>
      <c r="I530" s="6">
        <v>1027.9</v>
      </c>
      <c r="J530" s="6">
        <v>2552</v>
      </c>
      <c r="K530">
        <f t="shared" si="8"/>
        <v>0.402782131661442</v>
      </c>
      <c r="L530" s="2">
        <v>59.92016905</v>
      </c>
      <c r="M530" s="2">
        <v>37.25</v>
      </c>
      <c r="N530" s="6">
        <v>11.3</v>
      </c>
      <c r="O530" s="6">
        <v>84.99</v>
      </c>
      <c r="P530" s="6">
        <v>945.4</v>
      </c>
    </row>
    <row r="531" spans="1:16">
      <c r="A531" t="s">
        <v>42</v>
      </c>
      <c r="B531">
        <v>2012</v>
      </c>
      <c r="C531">
        <v>0.402403172324876</v>
      </c>
      <c r="D531" s="6">
        <v>21141</v>
      </c>
      <c r="E531" s="6">
        <v>2196</v>
      </c>
      <c r="F531" s="2">
        <v>0.462312955443066</v>
      </c>
      <c r="G531" s="2">
        <v>1.29926016576737</v>
      </c>
      <c r="H531" s="2">
        <v>0.02005502</v>
      </c>
      <c r="I531" s="6">
        <v>1083.2</v>
      </c>
      <c r="J531" s="6">
        <v>2550</v>
      </c>
      <c r="K531">
        <f t="shared" si="8"/>
        <v>0.42478431372549</v>
      </c>
      <c r="L531" s="2">
        <v>59.87320967</v>
      </c>
      <c r="M531" s="2">
        <v>38.78</v>
      </c>
      <c r="N531" s="6">
        <v>11.3</v>
      </c>
      <c r="O531" s="6">
        <v>72</v>
      </c>
      <c r="P531" s="6">
        <v>1038.4</v>
      </c>
    </row>
    <row r="532" spans="1:16">
      <c r="A532" t="s">
        <v>42</v>
      </c>
      <c r="B532">
        <v>2013</v>
      </c>
      <c r="C532">
        <v>0.384022569213636</v>
      </c>
      <c r="D532" s="6">
        <v>23647</v>
      </c>
      <c r="E532" s="6">
        <v>2480.7</v>
      </c>
      <c r="F532" s="2">
        <v>0.444592235431042</v>
      </c>
      <c r="G532" s="2">
        <v>1.21157203425056</v>
      </c>
      <c r="H532" s="2">
        <v>0.02008952</v>
      </c>
      <c r="I532" s="6">
        <v>1201.94</v>
      </c>
      <c r="J532" s="6">
        <v>2537</v>
      </c>
      <c r="K532">
        <f t="shared" si="8"/>
        <v>0.47376428852976</v>
      </c>
      <c r="L532" s="2">
        <v>59.5679737</v>
      </c>
      <c r="M532" s="2">
        <v>40.5</v>
      </c>
      <c r="N532" s="6">
        <v>11.3</v>
      </c>
      <c r="O532" s="6">
        <v>69.82</v>
      </c>
      <c r="P532" s="6">
        <v>1042.3</v>
      </c>
    </row>
    <row r="533" spans="1:16">
      <c r="A533" t="s">
        <v>42</v>
      </c>
      <c r="B533">
        <v>2014</v>
      </c>
      <c r="C533">
        <v>0.371234671298726</v>
      </c>
      <c r="D533" s="6">
        <v>25724</v>
      </c>
      <c r="E533" s="6">
        <v>2761.8</v>
      </c>
      <c r="F533" s="2">
        <v>0.433127761413844</v>
      </c>
      <c r="G533" s="2">
        <v>1.15387978645066</v>
      </c>
      <c r="H533" s="2">
        <v>0.01968988</v>
      </c>
      <c r="I533" s="6">
        <v>1241.13</v>
      </c>
      <c r="J533" s="6">
        <v>2531</v>
      </c>
      <c r="K533">
        <f t="shared" si="8"/>
        <v>0.49037139470565</v>
      </c>
      <c r="L533" s="2">
        <v>59.42709556</v>
      </c>
      <c r="M533" s="2">
        <v>42.28</v>
      </c>
      <c r="N533" s="6">
        <v>11.3</v>
      </c>
      <c r="O533" s="6">
        <v>73.21</v>
      </c>
      <c r="P533" s="6">
        <v>767</v>
      </c>
    </row>
    <row r="534" spans="1:16">
      <c r="A534" t="s">
        <v>42</v>
      </c>
      <c r="B534">
        <v>2015</v>
      </c>
      <c r="C534">
        <v>0.362168400211662</v>
      </c>
      <c r="D534" s="6">
        <v>25946</v>
      </c>
      <c r="E534" s="6">
        <v>3079.9</v>
      </c>
      <c r="F534" s="2">
        <v>0.382118781075557</v>
      </c>
      <c r="G534" s="2">
        <v>1.14220785163042</v>
      </c>
      <c r="H534" s="2">
        <v>0.01929847</v>
      </c>
      <c r="I534" s="6">
        <v>1242</v>
      </c>
      <c r="J534" s="6">
        <v>2523</v>
      </c>
      <c r="K534">
        <f t="shared" si="8"/>
        <v>0.492271105826397</v>
      </c>
      <c r="L534" s="2">
        <v>59.23925804</v>
      </c>
      <c r="M534" s="2">
        <v>44.24</v>
      </c>
      <c r="N534" s="6">
        <v>11.3</v>
      </c>
      <c r="O534" s="6">
        <v>95.35</v>
      </c>
      <c r="P534" s="6">
        <v>635</v>
      </c>
    </row>
    <row r="535" spans="1:16">
      <c r="A535" t="s">
        <v>42</v>
      </c>
      <c r="B535">
        <v>2016</v>
      </c>
      <c r="C535">
        <v>0.290804555963415</v>
      </c>
      <c r="D535" s="6">
        <v>27396</v>
      </c>
      <c r="E535" s="6">
        <v>3408.5</v>
      </c>
      <c r="F535" s="2">
        <v>0.359515916559302</v>
      </c>
      <c r="G535" s="2">
        <v>1.05676109961059</v>
      </c>
      <c r="H535" s="2">
        <v>0.01782769</v>
      </c>
      <c r="I535" s="6">
        <v>1214.33</v>
      </c>
      <c r="J535" s="6">
        <v>2520</v>
      </c>
      <c r="K535">
        <f t="shared" si="8"/>
        <v>0.481876984126984</v>
      </c>
      <c r="L535" s="2">
        <v>59.16881897</v>
      </c>
      <c r="M535" s="2">
        <v>46.07</v>
      </c>
      <c r="N535" s="6">
        <v>11.3</v>
      </c>
      <c r="O535" s="6">
        <v>95.25</v>
      </c>
      <c r="P535" s="6">
        <v>646.4</v>
      </c>
    </row>
    <row r="536" spans="1:16">
      <c r="A536" t="s">
        <v>42</v>
      </c>
      <c r="B536">
        <v>2017</v>
      </c>
      <c r="C536">
        <v>0.273658848722654</v>
      </c>
      <c r="D536" s="6">
        <v>29103</v>
      </c>
      <c r="E536" s="6">
        <v>3718.2</v>
      </c>
      <c r="F536" s="2">
        <v>0.342906211239386</v>
      </c>
      <c r="G536" s="2">
        <v>1.02280316763668</v>
      </c>
      <c r="H536" s="2">
        <v>0.01845956</v>
      </c>
      <c r="I536" s="6">
        <v>1349.15</v>
      </c>
      <c r="J536" s="6">
        <v>2522</v>
      </c>
      <c r="K536">
        <f t="shared" si="8"/>
        <v>0.534952418715305</v>
      </c>
      <c r="L536" s="2">
        <v>59.21577835</v>
      </c>
      <c r="M536" s="2">
        <v>48.12</v>
      </c>
      <c r="N536" s="6">
        <v>11.3</v>
      </c>
      <c r="O536" s="6">
        <v>102.2</v>
      </c>
      <c r="P536" s="6">
        <v>912.5</v>
      </c>
    </row>
    <row r="537" spans="1:16">
      <c r="A537" t="s">
        <v>42</v>
      </c>
      <c r="B537">
        <v>2018</v>
      </c>
      <c r="C537">
        <v>0.266607521050712</v>
      </c>
      <c r="D537" s="6">
        <v>32178</v>
      </c>
      <c r="E537" s="6">
        <v>4198.5</v>
      </c>
      <c r="F537" s="2">
        <v>0.340765785219827</v>
      </c>
      <c r="G537" s="2">
        <v>0.965313853481571</v>
      </c>
      <c r="H537" s="2">
        <v>0.01868824</v>
      </c>
      <c r="I537" s="6">
        <v>1531.43</v>
      </c>
      <c r="J537" s="6">
        <v>2515</v>
      </c>
      <c r="K537">
        <f t="shared" si="8"/>
        <v>0.608918489065606</v>
      </c>
      <c r="L537" s="2">
        <v>59.05142052</v>
      </c>
      <c r="M537" s="2">
        <v>49.69</v>
      </c>
      <c r="N537" s="6">
        <v>11.3</v>
      </c>
      <c r="O537" s="6">
        <v>127.82</v>
      </c>
      <c r="P537" s="6">
        <v>1266.6</v>
      </c>
    </row>
    <row r="538" spans="1:16">
      <c r="A538" t="s">
        <v>42</v>
      </c>
      <c r="B538">
        <v>2019</v>
      </c>
      <c r="C538">
        <v>0.254095691717857</v>
      </c>
      <c r="D538" s="6">
        <v>34707</v>
      </c>
      <c r="E538" s="6">
        <v>4740.7</v>
      </c>
      <c r="F538" s="2">
        <v>0.328320888246562</v>
      </c>
      <c r="G538" s="2">
        <v>0.896734455111662</v>
      </c>
      <c r="H538" s="2">
        <v>0.01777019</v>
      </c>
      <c r="I538" s="6">
        <v>1630.5</v>
      </c>
      <c r="J538" s="6">
        <v>2509</v>
      </c>
      <c r="K538">
        <f t="shared" si="8"/>
        <v>0.649860502192108</v>
      </c>
      <c r="L538" s="2">
        <v>58.91054238</v>
      </c>
      <c r="M538" s="2">
        <v>50.7</v>
      </c>
      <c r="N538" s="6">
        <v>11.3</v>
      </c>
      <c r="O538" s="6">
        <v>106.52</v>
      </c>
      <c r="P538" s="6">
        <v>1233.5</v>
      </c>
    </row>
    <row r="539" spans="1:16">
      <c r="A539" t="s">
        <v>42</v>
      </c>
      <c r="B539">
        <v>2020</v>
      </c>
      <c r="C539">
        <v>0.238815900245532</v>
      </c>
      <c r="D539" s="6">
        <v>35848</v>
      </c>
      <c r="E539" s="6">
        <v>5352.9</v>
      </c>
      <c r="F539" s="2">
        <v>0.314576210786552</v>
      </c>
      <c r="G539" s="2">
        <v>0.902559105538047</v>
      </c>
      <c r="H539" s="2">
        <v>0.0183198</v>
      </c>
      <c r="I539" s="6">
        <v>1762.35</v>
      </c>
      <c r="J539" s="6">
        <v>2501</v>
      </c>
      <c r="K539">
        <f t="shared" si="8"/>
        <v>0.704658136745302</v>
      </c>
      <c r="L539" s="2">
        <v>58.71119981</v>
      </c>
      <c r="M539" s="2">
        <v>52.23</v>
      </c>
      <c r="N539" s="6">
        <v>11.3</v>
      </c>
      <c r="O539" s="6">
        <v>114.03</v>
      </c>
      <c r="P539" s="6">
        <v>1628.7</v>
      </c>
    </row>
    <row r="540" spans="1:16">
      <c r="A540" t="s">
        <v>42</v>
      </c>
      <c r="B540">
        <v>2021</v>
      </c>
      <c r="C540">
        <v>0.225003114610165</v>
      </c>
      <c r="D540" s="6">
        <v>40976</v>
      </c>
      <c r="E540" s="6">
        <v>6044</v>
      </c>
      <c r="F540" s="2">
        <v>0.337509168255831</v>
      </c>
      <c r="G540" s="2">
        <v>0.824823236027578</v>
      </c>
      <c r="H540" s="2">
        <v>0.0179841</v>
      </c>
      <c r="I540" s="6">
        <v>1896.82</v>
      </c>
      <c r="J540" s="6">
        <v>2490</v>
      </c>
      <c r="K540">
        <f t="shared" si="8"/>
        <v>0.761775100401606</v>
      </c>
      <c r="L540" s="2">
        <v>58.46489786</v>
      </c>
      <c r="M540" s="2">
        <v>53.33</v>
      </c>
      <c r="N540" s="6">
        <v>11.3</v>
      </c>
      <c r="O540" s="6">
        <v>82.1</v>
      </c>
      <c r="P540" s="6">
        <v>1118</v>
      </c>
    </row>
    <row r="541" spans="1:16">
      <c r="A541" t="s">
        <v>42</v>
      </c>
      <c r="B541">
        <v>2022</v>
      </c>
      <c r="C541">
        <v>0.219338922205654</v>
      </c>
      <c r="D541" s="6">
        <v>44646</v>
      </c>
      <c r="E541" s="6">
        <v>6824.3</v>
      </c>
      <c r="F541" s="2">
        <v>0.352181831166976</v>
      </c>
      <c r="G541" s="2">
        <v>0.773808205970576</v>
      </c>
      <c r="H541" s="2">
        <v>0.034122736</v>
      </c>
      <c r="I541" s="6">
        <v>2002.9</v>
      </c>
      <c r="J541" s="6">
        <v>2492</v>
      </c>
      <c r="K541">
        <f t="shared" si="8"/>
        <v>0.803731942215088</v>
      </c>
      <c r="L541" s="2">
        <v>58.51138765</v>
      </c>
      <c r="M541" s="2">
        <v>47.862</v>
      </c>
      <c r="N541" s="6">
        <v>11.3</v>
      </c>
      <c r="O541" s="6">
        <v>113.21</v>
      </c>
      <c r="P541" s="6">
        <v>927.3</v>
      </c>
    </row>
    <row r="542" spans="1:16">
      <c r="A542" t="s">
        <v>43</v>
      </c>
      <c r="B542">
        <v>2003</v>
      </c>
      <c r="C542">
        <v>0.540597079460534</v>
      </c>
      <c r="D542" s="6">
        <v>7248</v>
      </c>
      <c r="E542" s="6">
        <v>164.9</v>
      </c>
      <c r="F542" s="2">
        <v>0.343376623376623</v>
      </c>
      <c r="G542" s="2">
        <v>2.9161038961039</v>
      </c>
      <c r="H542" s="2">
        <v>0.00795157</v>
      </c>
      <c r="I542" s="6">
        <v>130.48</v>
      </c>
      <c r="J542" s="6">
        <v>534</v>
      </c>
      <c r="K542">
        <f t="shared" si="8"/>
        <v>0.244344569288389</v>
      </c>
      <c r="L542" s="2">
        <v>7.390281047</v>
      </c>
      <c r="M542" s="2">
        <v>38.16</v>
      </c>
      <c r="N542" s="6">
        <v>4.6</v>
      </c>
      <c r="O542" s="6">
        <v>13.42</v>
      </c>
      <c r="P542" s="6">
        <v>13001.7</v>
      </c>
    </row>
    <row r="543" spans="1:16">
      <c r="A543" t="s">
        <v>43</v>
      </c>
      <c r="B543">
        <v>2004</v>
      </c>
      <c r="C543">
        <v>0.408453198264073</v>
      </c>
      <c r="D543" s="6">
        <v>8275</v>
      </c>
      <c r="E543" s="6">
        <v>184.6</v>
      </c>
      <c r="F543" s="2">
        <v>0.347982871309443</v>
      </c>
      <c r="G543" s="2">
        <v>3.07505070993915</v>
      </c>
      <c r="H543" s="2">
        <v>0.00872371</v>
      </c>
      <c r="I543" s="6">
        <v>172.51</v>
      </c>
      <c r="J543" s="6">
        <v>539</v>
      </c>
      <c r="K543">
        <f t="shared" si="8"/>
        <v>0.320055658627087</v>
      </c>
      <c r="L543" s="2">
        <v>7.456735428</v>
      </c>
      <c r="M543" s="2">
        <v>38.5</v>
      </c>
      <c r="N543" s="6">
        <v>4.6</v>
      </c>
      <c r="O543" s="6">
        <v>14.63</v>
      </c>
      <c r="P543" s="6">
        <v>11258.1</v>
      </c>
    </row>
    <row r="544" spans="1:16">
      <c r="A544" t="s">
        <v>43</v>
      </c>
      <c r="B544">
        <v>2005</v>
      </c>
      <c r="C544">
        <v>0.390473587367645</v>
      </c>
      <c r="D544" s="6">
        <v>9233</v>
      </c>
      <c r="E544" s="6">
        <v>210.3</v>
      </c>
      <c r="F544" s="2">
        <v>0.381057268722467</v>
      </c>
      <c r="G544" s="2">
        <v>3.34441329595515</v>
      </c>
      <c r="H544" s="2">
        <v>0.00834324</v>
      </c>
      <c r="I544" s="6">
        <v>215.89</v>
      </c>
      <c r="J544" s="6">
        <v>543</v>
      </c>
      <c r="K544">
        <f t="shared" si="8"/>
        <v>0.397587476979742</v>
      </c>
      <c r="L544" s="2">
        <v>7.520420878</v>
      </c>
      <c r="M544" s="2">
        <v>39.25</v>
      </c>
      <c r="N544" s="6">
        <v>4.6</v>
      </c>
      <c r="O544" s="6">
        <v>15.96</v>
      </c>
      <c r="P544" s="6">
        <v>16176.9</v>
      </c>
    </row>
    <row r="545" spans="1:16">
      <c r="A545" t="s">
        <v>43</v>
      </c>
      <c r="B545">
        <v>2006</v>
      </c>
      <c r="C545">
        <v>0.337575583572564</v>
      </c>
      <c r="D545" s="6">
        <v>10728</v>
      </c>
      <c r="E545" s="6">
        <v>230.7</v>
      </c>
      <c r="F545" s="2">
        <v>0.389781271360219</v>
      </c>
      <c r="G545" s="2">
        <v>3.25225563909774</v>
      </c>
      <c r="H545" s="2">
        <v>0.00861988</v>
      </c>
      <c r="I545" s="6">
        <v>281.62</v>
      </c>
      <c r="J545" s="6">
        <v>548</v>
      </c>
      <c r="K545">
        <f t="shared" si="8"/>
        <v>0.513905109489051</v>
      </c>
      <c r="L545" s="2">
        <v>7.582721861</v>
      </c>
      <c r="M545" s="2">
        <v>39.26</v>
      </c>
      <c r="N545" s="6">
        <v>4.6</v>
      </c>
      <c r="O545" s="6">
        <v>17.4</v>
      </c>
      <c r="P545" s="6">
        <v>10430.8</v>
      </c>
    </row>
    <row r="546" spans="1:16">
      <c r="A546" t="s">
        <v>43</v>
      </c>
      <c r="B546">
        <v>2007</v>
      </c>
      <c r="C546">
        <v>0.291214694707588</v>
      </c>
      <c r="D546" s="6">
        <v>13100</v>
      </c>
      <c r="E546" s="6">
        <v>273.6</v>
      </c>
      <c r="F546" s="2">
        <v>0.382308012776003</v>
      </c>
      <c r="G546" s="2">
        <v>2.90916539369532</v>
      </c>
      <c r="H546" s="2">
        <v>0.00876903</v>
      </c>
      <c r="I546" s="6">
        <v>307.66</v>
      </c>
      <c r="J546" s="6">
        <v>552</v>
      </c>
      <c r="K546">
        <f t="shared" si="8"/>
        <v>0.557355072463768</v>
      </c>
      <c r="L546" s="2">
        <v>7.636716046</v>
      </c>
      <c r="M546" s="2">
        <v>40.07</v>
      </c>
      <c r="N546" s="6">
        <v>4.6</v>
      </c>
      <c r="O546" s="6">
        <v>18.98</v>
      </c>
      <c r="P546" s="6">
        <v>12029.5</v>
      </c>
    </row>
    <row r="547" spans="1:16">
      <c r="A547" t="s">
        <v>43</v>
      </c>
      <c r="B547">
        <v>2008</v>
      </c>
      <c r="C547">
        <v>0.269104261031984</v>
      </c>
      <c r="D547" s="6">
        <v>16220</v>
      </c>
      <c r="E547" s="6">
        <v>322.4</v>
      </c>
      <c r="F547" s="2">
        <v>0.390567510313301</v>
      </c>
      <c r="G547" s="2">
        <v>2.54097446761066</v>
      </c>
      <c r="H547" s="2">
        <v>0.00911866</v>
      </c>
      <c r="I547" s="6">
        <v>310.46</v>
      </c>
      <c r="J547" s="6">
        <v>554</v>
      </c>
      <c r="K547">
        <f t="shared" si="8"/>
        <v>0.560397111913357</v>
      </c>
      <c r="L547" s="2">
        <v>7.674096636</v>
      </c>
      <c r="M547" s="2">
        <v>40.86</v>
      </c>
      <c r="N547" s="6">
        <v>4.6</v>
      </c>
      <c r="O547" s="6">
        <v>19.55</v>
      </c>
      <c r="P547" s="6">
        <v>11900.5</v>
      </c>
    </row>
    <row r="548" spans="1:16">
      <c r="A548" t="s">
        <v>43</v>
      </c>
      <c r="B548">
        <v>2009</v>
      </c>
      <c r="C548">
        <v>0.269267877814774</v>
      </c>
      <c r="D548" s="6">
        <v>16907</v>
      </c>
      <c r="E548" s="6">
        <v>361.3</v>
      </c>
      <c r="F548" s="2">
        <v>0.389166755347451</v>
      </c>
      <c r="G548" s="2">
        <v>2.49866978823029</v>
      </c>
      <c r="H548" s="2">
        <v>0.00921534</v>
      </c>
      <c r="I548" s="6">
        <v>377.94</v>
      </c>
      <c r="J548" s="6">
        <v>557</v>
      </c>
      <c r="K548">
        <f t="shared" si="8"/>
        <v>0.678527827648115</v>
      </c>
      <c r="L548" s="2">
        <v>7.715630624</v>
      </c>
      <c r="M548" s="2">
        <v>41.9</v>
      </c>
      <c r="N548" s="6">
        <v>5.6</v>
      </c>
      <c r="O548" s="6">
        <v>28.98</v>
      </c>
      <c r="P548" s="6">
        <v>16113.6</v>
      </c>
    </row>
    <row r="549" spans="1:16">
      <c r="A549" t="s">
        <v>43</v>
      </c>
      <c r="B549">
        <v>2010</v>
      </c>
      <c r="C549">
        <v>0.273825973038508</v>
      </c>
      <c r="D549" s="6">
        <v>20418</v>
      </c>
      <c r="E549" s="6">
        <v>410.3</v>
      </c>
      <c r="F549" s="2">
        <v>0.38821884285964</v>
      </c>
      <c r="G549" s="2">
        <v>2.24459010662472</v>
      </c>
      <c r="H549" s="2">
        <v>0.01107603</v>
      </c>
      <c r="I549" s="6">
        <v>468.26</v>
      </c>
      <c r="J549" s="6">
        <v>563</v>
      </c>
      <c r="K549">
        <f t="shared" si="8"/>
        <v>0.831722912966252</v>
      </c>
      <c r="L549" s="2">
        <v>7.801052194</v>
      </c>
      <c r="M549" s="2">
        <v>44.72</v>
      </c>
      <c r="N549" s="6">
        <v>5.6</v>
      </c>
      <c r="O549" s="6">
        <v>36.15</v>
      </c>
      <c r="P549" s="6">
        <v>13225</v>
      </c>
    </row>
    <row r="550" spans="1:16">
      <c r="A550" t="s">
        <v>43</v>
      </c>
      <c r="B550">
        <v>2011</v>
      </c>
      <c r="C550">
        <v>0.297388835153981</v>
      </c>
      <c r="D550" s="6">
        <v>24233</v>
      </c>
      <c r="E550" s="6">
        <v>494.8</v>
      </c>
      <c r="F550" s="2">
        <v>0.403604786923526</v>
      </c>
      <c r="G550" s="2">
        <v>2.32705779334501</v>
      </c>
      <c r="H550" s="2">
        <v>0.01192287</v>
      </c>
      <c r="I550" s="6">
        <v>463.13</v>
      </c>
      <c r="J550" s="6">
        <v>568</v>
      </c>
      <c r="K550">
        <f t="shared" si="8"/>
        <v>0.815369718309859</v>
      </c>
      <c r="L550" s="2">
        <v>7.865845217</v>
      </c>
      <c r="M550" s="2">
        <v>46.53</v>
      </c>
      <c r="N550" s="6">
        <v>5.6</v>
      </c>
      <c r="O550" s="6">
        <v>41.76</v>
      </c>
      <c r="P550" s="6">
        <v>12956.8</v>
      </c>
    </row>
    <row r="551" spans="1:16">
      <c r="A551" t="s">
        <v>43</v>
      </c>
      <c r="B551">
        <v>2012</v>
      </c>
      <c r="C551">
        <v>0.291757210403214</v>
      </c>
      <c r="D551" s="6">
        <v>26839</v>
      </c>
      <c r="E551" s="6">
        <v>587.2</v>
      </c>
      <c r="F551" s="2">
        <v>0.405757278377494</v>
      </c>
      <c r="G551" s="2">
        <v>2.30556754988551</v>
      </c>
      <c r="H551" s="2">
        <v>0.01214354</v>
      </c>
      <c r="I551" s="6">
        <v>556.3</v>
      </c>
      <c r="J551" s="6">
        <v>571</v>
      </c>
      <c r="K551">
        <f t="shared" si="8"/>
        <v>0.974255691768827</v>
      </c>
      <c r="L551" s="2">
        <v>7.902118233</v>
      </c>
      <c r="M551" s="2">
        <v>47.85</v>
      </c>
      <c r="N551" s="6">
        <v>5.6</v>
      </c>
      <c r="O551" s="6">
        <v>43.99</v>
      </c>
      <c r="P551" s="6">
        <v>15687.2</v>
      </c>
    </row>
    <row r="552" spans="1:16">
      <c r="A552" t="s">
        <v>43</v>
      </c>
      <c r="B552">
        <v>2013</v>
      </c>
      <c r="C552">
        <v>0.334872626175725</v>
      </c>
      <c r="D552" s="6">
        <v>30005</v>
      </c>
      <c r="E552" s="6">
        <v>694.6</v>
      </c>
      <c r="F552" s="2">
        <v>0.397478550166346</v>
      </c>
      <c r="G552" s="2">
        <v>2.19926457713185</v>
      </c>
      <c r="H552" s="2">
        <v>0.01265906</v>
      </c>
      <c r="I552" s="6">
        <v>611.08</v>
      </c>
      <c r="J552" s="6">
        <v>571</v>
      </c>
      <c r="K552">
        <f t="shared" si="8"/>
        <v>1.07019264448336</v>
      </c>
      <c r="L552" s="2">
        <v>7.907379205</v>
      </c>
      <c r="M552" s="2">
        <v>49.29</v>
      </c>
      <c r="N552" s="6">
        <v>5.6</v>
      </c>
      <c r="O552" s="6">
        <v>66.78</v>
      </c>
      <c r="P552" s="6">
        <v>11216.6</v>
      </c>
    </row>
    <row r="553" spans="1:16">
      <c r="A553" t="s">
        <v>43</v>
      </c>
      <c r="B553">
        <v>2014</v>
      </c>
      <c r="C553">
        <v>0.345473772199748</v>
      </c>
      <c r="D553" s="6">
        <v>32218</v>
      </c>
      <c r="E553" s="6">
        <v>785.8</v>
      </c>
      <c r="F553" s="2">
        <v>0.386859338637225</v>
      </c>
      <c r="G553" s="2">
        <v>2.1603615305515</v>
      </c>
      <c r="H553" s="2">
        <v>0.01299879</v>
      </c>
      <c r="I553" s="6">
        <v>580.32</v>
      </c>
      <c r="J553" s="6">
        <v>576</v>
      </c>
      <c r="K553">
        <f t="shared" si="8"/>
        <v>1.0075</v>
      </c>
      <c r="L553" s="2">
        <v>7.972172228</v>
      </c>
      <c r="M553" s="2">
        <v>50.84</v>
      </c>
      <c r="N553" s="6">
        <v>5.8</v>
      </c>
      <c r="O553" s="6">
        <v>56.73</v>
      </c>
      <c r="P553" s="6">
        <v>13675.5</v>
      </c>
    </row>
    <row r="554" spans="1:16">
      <c r="A554" t="s">
        <v>43</v>
      </c>
      <c r="B554">
        <v>2015</v>
      </c>
      <c r="C554">
        <v>0.353290269775485</v>
      </c>
      <c r="D554" s="6">
        <v>34883</v>
      </c>
      <c r="E554" s="6">
        <v>888.7</v>
      </c>
      <c r="F554" s="2">
        <v>0.378468423669816</v>
      </c>
      <c r="G554" s="2">
        <v>2.05121829935356</v>
      </c>
      <c r="H554" s="2">
        <v>0.01155737</v>
      </c>
      <c r="I554" s="6">
        <v>566</v>
      </c>
      <c r="J554" s="6">
        <v>577</v>
      </c>
      <c r="K554">
        <f t="shared" si="8"/>
        <v>0.980935875216638</v>
      </c>
      <c r="L554" s="2">
        <v>7.98643223</v>
      </c>
      <c r="M554" s="2">
        <v>51.67</v>
      </c>
      <c r="N554" s="6">
        <v>5.8</v>
      </c>
      <c r="O554" s="6">
        <v>87.36</v>
      </c>
      <c r="P554" s="6">
        <v>10057.6</v>
      </c>
    </row>
    <row r="555" spans="1:16">
      <c r="A555" t="s">
        <v>43</v>
      </c>
      <c r="B555">
        <v>2016</v>
      </c>
      <c r="C555">
        <v>0.250678158719118</v>
      </c>
      <c r="D555" s="6">
        <v>38968</v>
      </c>
      <c r="E555" s="6">
        <v>989.9</v>
      </c>
      <c r="F555" s="2">
        <v>0.38424408821185</v>
      </c>
      <c r="G555" s="2">
        <v>1.81604817996635</v>
      </c>
      <c r="H555" s="2">
        <v>0.01067018</v>
      </c>
      <c r="I555" s="6">
        <v>552.96</v>
      </c>
      <c r="J555" s="6">
        <v>582</v>
      </c>
      <c r="K555">
        <f t="shared" si="8"/>
        <v>0.950103092783505</v>
      </c>
      <c r="L555" s="2">
        <v>8.055932438</v>
      </c>
      <c r="M555" s="2">
        <v>53.55</v>
      </c>
      <c r="N555" s="6">
        <v>5.8</v>
      </c>
      <c r="O555" s="6">
        <v>73.41</v>
      </c>
      <c r="P555" s="6">
        <v>10376</v>
      </c>
    </row>
    <row r="556" spans="1:16">
      <c r="A556" t="s">
        <v>43</v>
      </c>
      <c r="B556">
        <v>2017</v>
      </c>
      <c r="C556">
        <v>0.211628370721532</v>
      </c>
      <c r="D556" s="6">
        <v>42211</v>
      </c>
      <c r="E556" s="6">
        <v>1073.9</v>
      </c>
      <c r="F556" s="2">
        <v>0.395805443998215</v>
      </c>
      <c r="G556" s="2">
        <v>1.7009451949211</v>
      </c>
      <c r="H556" s="2">
        <v>0.01089175</v>
      </c>
      <c r="I556" s="6">
        <v>626.59</v>
      </c>
      <c r="J556" s="6">
        <v>586</v>
      </c>
      <c r="K556">
        <f t="shared" si="8"/>
        <v>1.0692662116041</v>
      </c>
      <c r="L556" s="2">
        <v>8.119756334</v>
      </c>
      <c r="M556" s="2">
        <v>55.45</v>
      </c>
      <c r="N556" s="6">
        <v>5.8</v>
      </c>
      <c r="O556" s="6">
        <v>60.93</v>
      </c>
      <c r="P556" s="6">
        <v>13188.9</v>
      </c>
    </row>
    <row r="557" spans="1:16">
      <c r="A557" t="s">
        <v>43</v>
      </c>
      <c r="B557">
        <v>2018</v>
      </c>
      <c r="C557">
        <v>0.195233393278048</v>
      </c>
      <c r="D557" s="6">
        <v>46854</v>
      </c>
      <c r="E557" s="6">
        <v>1172</v>
      </c>
      <c r="F557" s="2">
        <v>0.397998544395924</v>
      </c>
      <c r="G557" s="2">
        <v>1.58806404657933</v>
      </c>
      <c r="H557" s="2">
        <v>0.01070026</v>
      </c>
      <c r="I557" s="6">
        <v>811.03</v>
      </c>
      <c r="J557" s="6">
        <v>587</v>
      </c>
      <c r="K557">
        <f t="shared" si="8"/>
        <v>1.38165247018739</v>
      </c>
      <c r="L557" s="2">
        <v>8.131247404</v>
      </c>
      <c r="M557" s="2">
        <v>57.27</v>
      </c>
      <c r="N557" s="6">
        <v>5.8</v>
      </c>
      <c r="O557" s="6">
        <v>63.51</v>
      </c>
      <c r="P557" s="6">
        <v>16018.3</v>
      </c>
    </row>
    <row r="558" spans="1:16">
      <c r="A558" t="s">
        <v>43</v>
      </c>
      <c r="B558">
        <v>2019</v>
      </c>
      <c r="C558">
        <v>0.189423795491008</v>
      </c>
      <c r="D558" s="6">
        <v>49976</v>
      </c>
      <c r="E558" s="6">
        <v>1275.8</v>
      </c>
      <c r="F558" s="2">
        <v>0.392336200741219</v>
      </c>
      <c r="G558" s="2">
        <v>1.4399374383734</v>
      </c>
      <c r="H558" s="2">
        <v>0.00988451</v>
      </c>
      <c r="I558" s="6">
        <v>886.14</v>
      </c>
      <c r="J558" s="6">
        <v>590</v>
      </c>
      <c r="K558">
        <f t="shared" si="8"/>
        <v>1.50193220338983</v>
      </c>
      <c r="L558" s="2">
        <v>8.174442752</v>
      </c>
      <c r="M558" s="2">
        <v>58.78</v>
      </c>
      <c r="N558" s="6">
        <v>5.8</v>
      </c>
      <c r="O558" s="6">
        <v>69.38</v>
      </c>
      <c r="P558" s="6">
        <v>15182.5</v>
      </c>
    </row>
    <row r="559" spans="1:16">
      <c r="A559" t="s">
        <v>43</v>
      </c>
      <c r="B559">
        <v>2020</v>
      </c>
      <c r="C559">
        <v>0.182755178989707</v>
      </c>
      <c r="D559" s="6">
        <v>50845</v>
      </c>
      <c r="E559" s="6">
        <v>1385.2</v>
      </c>
      <c r="F559" s="2">
        <v>0.379825902053293</v>
      </c>
      <c r="G559" s="2">
        <v>1.37894876735996</v>
      </c>
      <c r="H559" s="2">
        <v>0.00987884</v>
      </c>
      <c r="I559" s="6">
        <v>951.95</v>
      </c>
      <c r="J559" s="6">
        <v>593</v>
      </c>
      <c r="K559">
        <f t="shared" si="8"/>
        <v>1.60531197301855</v>
      </c>
      <c r="L559" s="2">
        <v>8.20697771</v>
      </c>
      <c r="M559" s="2">
        <v>60.08</v>
      </c>
      <c r="N559" s="6">
        <v>5.8</v>
      </c>
      <c r="O559" s="6">
        <v>73.51</v>
      </c>
      <c r="P559" s="6">
        <v>17107.4</v>
      </c>
    </row>
    <row r="560" spans="1:16">
      <c r="A560" t="s">
        <v>43</v>
      </c>
      <c r="B560">
        <v>2021</v>
      </c>
      <c r="C560">
        <v>0.175971509313363</v>
      </c>
      <c r="D560" s="6">
        <v>57036</v>
      </c>
      <c r="E560" s="6">
        <v>1500.3</v>
      </c>
      <c r="F560" s="2">
        <v>0.403149094561461</v>
      </c>
      <c r="G560" s="2">
        <v>1.38680393489114</v>
      </c>
      <c r="H560" s="2">
        <v>0.01032131</v>
      </c>
      <c r="I560" s="6">
        <v>995.71</v>
      </c>
      <c r="J560" s="6">
        <v>594</v>
      </c>
      <c r="K560">
        <f t="shared" si="8"/>
        <v>1.67627946127946</v>
      </c>
      <c r="L560" s="2">
        <v>8.223729752</v>
      </c>
      <c r="M560" s="2">
        <v>61.02</v>
      </c>
      <c r="N560" s="6">
        <v>5.8</v>
      </c>
      <c r="O560" s="6">
        <v>72.17</v>
      </c>
      <c r="P560" s="6">
        <v>14190.4</v>
      </c>
    </row>
    <row r="561" spans="1:16">
      <c r="A561" t="s">
        <v>43</v>
      </c>
      <c r="B561">
        <v>2022</v>
      </c>
      <c r="C561">
        <v>0.177167329617696</v>
      </c>
      <c r="D561" s="6">
        <v>60946</v>
      </c>
      <c r="E561" s="6">
        <v>1621.1</v>
      </c>
      <c r="F561" s="2">
        <v>0.439239910251794</v>
      </c>
      <c r="G561" s="2">
        <v>1.32906013622477</v>
      </c>
      <c r="H561" s="2">
        <v>0.017536044</v>
      </c>
      <c r="I561" s="6">
        <v>1002.71</v>
      </c>
      <c r="J561" s="6">
        <v>595</v>
      </c>
      <c r="K561">
        <f t="shared" si="8"/>
        <v>1.6852268907563</v>
      </c>
      <c r="L561" s="2">
        <v>8.237574415</v>
      </c>
      <c r="M561" s="2">
        <v>51.756</v>
      </c>
      <c r="N561" s="6">
        <v>5.8</v>
      </c>
      <c r="O561" s="6">
        <v>85.36</v>
      </c>
      <c r="P561" s="6">
        <v>12206.9</v>
      </c>
    </row>
    <row r="562" spans="1:16">
      <c r="A562" t="s">
        <v>44</v>
      </c>
      <c r="B562">
        <v>2003</v>
      </c>
      <c r="C562">
        <v>0.609093473596737</v>
      </c>
      <c r="D562" s="6">
        <v>7686</v>
      </c>
      <c r="E562" s="6">
        <v>189.4</v>
      </c>
      <c r="F562" s="2">
        <v>0.433348395842747</v>
      </c>
      <c r="G562" s="2">
        <v>4.55223678264799</v>
      </c>
      <c r="H562" s="2">
        <v>0.01123259</v>
      </c>
      <c r="I562" s="6">
        <v>206.13</v>
      </c>
      <c r="J562" s="6">
        <v>580</v>
      </c>
      <c r="K562">
        <f t="shared" si="8"/>
        <v>0.355396551724138</v>
      </c>
      <c r="L562" s="2">
        <v>87.37801205</v>
      </c>
      <c r="M562" s="2">
        <v>36.94</v>
      </c>
      <c r="N562" s="6">
        <v>9.8</v>
      </c>
      <c r="O562" s="6">
        <v>12.75</v>
      </c>
      <c r="P562" s="6">
        <v>170.6</v>
      </c>
    </row>
    <row r="563" spans="1:16">
      <c r="A563" t="s">
        <v>44</v>
      </c>
      <c r="B563">
        <v>2004</v>
      </c>
      <c r="C563">
        <v>0.615475761646638</v>
      </c>
      <c r="D563" s="6">
        <v>8904</v>
      </c>
      <c r="E563" s="6">
        <v>226.2</v>
      </c>
      <c r="F563" s="2">
        <v>0.447393729563378</v>
      </c>
      <c r="G563" s="2">
        <v>4.46668590113483</v>
      </c>
      <c r="H563" s="2">
        <v>0.01241292</v>
      </c>
      <c r="I563" s="6">
        <v>253.66</v>
      </c>
      <c r="J563" s="6">
        <v>588</v>
      </c>
      <c r="K563">
        <f t="shared" si="8"/>
        <v>0.431394557823129</v>
      </c>
      <c r="L563" s="2">
        <v>88.51054217</v>
      </c>
      <c r="M563" s="2">
        <v>40.58</v>
      </c>
      <c r="N563" s="6">
        <v>9.8</v>
      </c>
      <c r="O563" s="6">
        <v>12.74</v>
      </c>
      <c r="P563" s="6">
        <v>167.7</v>
      </c>
    </row>
    <row r="564" spans="1:16">
      <c r="A564" t="s">
        <v>44</v>
      </c>
      <c r="B564">
        <v>2005</v>
      </c>
      <c r="C564">
        <v>0.624348808475484</v>
      </c>
      <c r="D564" s="6">
        <v>9796</v>
      </c>
      <c r="E564" s="6">
        <v>264.6</v>
      </c>
      <c r="F564" s="2">
        <v>0.448008277289188</v>
      </c>
      <c r="G564" s="2">
        <v>4.32764269701673</v>
      </c>
      <c r="H564" s="2">
        <v>0.01223406</v>
      </c>
      <c r="I564" s="6">
        <v>312.87</v>
      </c>
      <c r="J564" s="6">
        <v>596</v>
      </c>
      <c r="K564">
        <f t="shared" si="8"/>
        <v>0.52494966442953</v>
      </c>
      <c r="L564" s="2">
        <v>89.78915663</v>
      </c>
      <c r="M564" s="2">
        <v>42.28</v>
      </c>
      <c r="N564" s="6">
        <v>9.8</v>
      </c>
      <c r="O564" s="6">
        <v>12.75</v>
      </c>
      <c r="P564" s="6">
        <v>143.6</v>
      </c>
    </row>
    <row r="565" spans="1:16">
      <c r="A565" t="s">
        <v>44</v>
      </c>
      <c r="B565">
        <v>2006</v>
      </c>
      <c r="C565">
        <v>0.520049774508245</v>
      </c>
      <c r="D565" s="6">
        <v>11389</v>
      </c>
      <c r="E565" s="6">
        <v>304.2</v>
      </c>
      <c r="F565" s="2">
        <v>0.471096151031758</v>
      </c>
      <c r="G565" s="2">
        <v>4.1</v>
      </c>
      <c r="H565" s="2">
        <v>0.01332579</v>
      </c>
      <c r="I565" s="6">
        <v>388.42</v>
      </c>
      <c r="J565" s="6">
        <v>604</v>
      </c>
      <c r="K565">
        <f t="shared" si="8"/>
        <v>0.643079470198676</v>
      </c>
      <c r="L565" s="2">
        <v>90.92319277</v>
      </c>
      <c r="M565" s="2">
        <v>43</v>
      </c>
      <c r="N565" s="6">
        <v>9.8</v>
      </c>
      <c r="O565" s="6">
        <v>12.73</v>
      </c>
      <c r="P565" s="6">
        <v>176.8</v>
      </c>
    </row>
    <row r="566" spans="1:16">
      <c r="A566" t="s">
        <v>44</v>
      </c>
      <c r="B566">
        <v>2007</v>
      </c>
      <c r="C566">
        <v>0.470388876568221</v>
      </c>
      <c r="D566" s="6">
        <v>14458</v>
      </c>
      <c r="E566" s="6">
        <v>348.6</v>
      </c>
      <c r="F566" s="2">
        <v>0.480856882406563</v>
      </c>
      <c r="G566" s="2">
        <v>3.47196900638104</v>
      </c>
      <c r="H566" s="2">
        <v>0.01351052</v>
      </c>
      <c r="I566" s="6">
        <v>452.96</v>
      </c>
      <c r="J566" s="6">
        <v>610</v>
      </c>
      <c r="K566">
        <f t="shared" si="8"/>
        <v>0.74255737704918</v>
      </c>
      <c r="L566" s="2">
        <v>91.90512048</v>
      </c>
      <c r="M566" s="2">
        <v>44.02</v>
      </c>
      <c r="N566" s="6">
        <v>9.8</v>
      </c>
      <c r="O566" s="6">
        <v>12.76</v>
      </c>
      <c r="P566" s="6">
        <v>171.1</v>
      </c>
    </row>
    <row r="567" spans="1:16">
      <c r="A567" t="s">
        <v>44</v>
      </c>
      <c r="B567">
        <v>2008</v>
      </c>
      <c r="C567">
        <v>0.456997130743038</v>
      </c>
      <c r="D567" s="6">
        <v>18554</v>
      </c>
      <c r="E567" s="6">
        <v>436.4</v>
      </c>
      <c r="F567" s="2">
        <v>0.489905196629214</v>
      </c>
      <c r="G567" s="2">
        <v>2.8344452247191</v>
      </c>
      <c r="H567" s="2">
        <v>0.01279814</v>
      </c>
      <c r="I567" s="6">
        <v>471.17</v>
      </c>
      <c r="J567" s="6">
        <v>618</v>
      </c>
      <c r="K567">
        <f t="shared" si="8"/>
        <v>0.762411003236246</v>
      </c>
      <c r="L567" s="2">
        <v>93.02560241</v>
      </c>
      <c r="M567" s="2">
        <v>44.98</v>
      </c>
      <c r="N567" s="6">
        <v>9.8</v>
      </c>
      <c r="O567" s="6">
        <v>17.51</v>
      </c>
      <c r="P567" s="6">
        <v>149.8</v>
      </c>
    </row>
    <row r="568" spans="1:16">
      <c r="A568" t="s">
        <v>44</v>
      </c>
      <c r="B568">
        <v>2009</v>
      </c>
      <c r="C568">
        <v>0.411096979969212</v>
      </c>
      <c r="D568" s="6">
        <v>20382</v>
      </c>
      <c r="E568" s="6">
        <v>492.1</v>
      </c>
      <c r="F568" s="2">
        <v>0.468145575116444</v>
      </c>
      <c r="G568" s="2">
        <v>2.67466645614589</v>
      </c>
      <c r="H568" s="2">
        <v>0.01265081</v>
      </c>
      <c r="I568" s="6">
        <v>479.85</v>
      </c>
      <c r="J568" s="6">
        <v>625</v>
      </c>
      <c r="K568">
        <f t="shared" si="8"/>
        <v>0.76776</v>
      </c>
      <c r="L568" s="2">
        <v>94.15662651</v>
      </c>
      <c r="M568" s="2">
        <v>46.1</v>
      </c>
      <c r="N568" s="6">
        <v>11.9</v>
      </c>
      <c r="O568" s="6">
        <v>22.59</v>
      </c>
      <c r="P568" s="6">
        <v>135.5</v>
      </c>
    </row>
    <row r="569" spans="1:16">
      <c r="A569" t="s">
        <v>44</v>
      </c>
      <c r="B569">
        <v>2010</v>
      </c>
      <c r="C569">
        <v>0.381181675696656</v>
      </c>
      <c r="D569" s="6">
        <v>24984</v>
      </c>
      <c r="E569" s="6">
        <v>565.7</v>
      </c>
      <c r="F569" s="2">
        <v>0.466628491442387</v>
      </c>
      <c r="G569" s="2">
        <v>2.3421136349176</v>
      </c>
      <c r="H569" s="2">
        <v>0.01301871</v>
      </c>
      <c r="I569" s="6">
        <v>587.16</v>
      </c>
      <c r="J569" s="6">
        <v>633</v>
      </c>
      <c r="K569">
        <f t="shared" si="8"/>
        <v>0.927582938388625</v>
      </c>
      <c r="L569" s="2">
        <v>95.3253012</v>
      </c>
      <c r="M569" s="2">
        <v>47.9</v>
      </c>
      <c r="N569" s="6">
        <v>11.9</v>
      </c>
      <c r="O569" s="6">
        <v>30.79</v>
      </c>
      <c r="P569" s="6">
        <v>148.2</v>
      </c>
    </row>
    <row r="570" spans="1:16">
      <c r="A570" t="s">
        <v>44</v>
      </c>
      <c r="B570">
        <v>2011</v>
      </c>
      <c r="C570">
        <v>0.34961339120168</v>
      </c>
      <c r="D570" s="6">
        <v>30161</v>
      </c>
      <c r="E570" s="6">
        <v>695.8</v>
      </c>
      <c r="F570" s="2">
        <v>0.476136245988198</v>
      </c>
      <c r="G570" s="2">
        <v>2.23418573351279</v>
      </c>
      <c r="H570" s="2">
        <v>0.01540724</v>
      </c>
      <c r="I570" s="6">
        <v>939.3</v>
      </c>
      <c r="J570" s="6">
        <v>648</v>
      </c>
      <c r="K570">
        <f t="shared" si="8"/>
        <v>1.44953703703704</v>
      </c>
      <c r="L570" s="2">
        <v>97.58283133</v>
      </c>
      <c r="M570" s="2">
        <v>50.2</v>
      </c>
      <c r="N570" s="6">
        <v>11.9</v>
      </c>
      <c r="O570" s="6">
        <v>35.23</v>
      </c>
      <c r="P570" s="6">
        <v>137.7</v>
      </c>
    </row>
    <row r="571" spans="1:16">
      <c r="A571" t="s">
        <v>44</v>
      </c>
      <c r="B571">
        <v>2012</v>
      </c>
      <c r="C571">
        <v>0.386243194718206</v>
      </c>
      <c r="D571" s="6">
        <v>32609</v>
      </c>
      <c r="E571" s="6">
        <v>779.8</v>
      </c>
      <c r="F571" s="2">
        <v>0.465743782261849</v>
      </c>
      <c r="G571" s="2">
        <v>2.14096198967621</v>
      </c>
      <c r="H571" s="2">
        <v>0.01495805</v>
      </c>
      <c r="I571" s="6">
        <v>1005.9</v>
      </c>
      <c r="J571" s="6">
        <v>659</v>
      </c>
      <c r="K571">
        <f t="shared" si="8"/>
        <v>1.52640364188164</v>
      </c>
      <c r="L571" s="2">
        <v>99.26656627</v>
      </c>
      <c r="M571" s="2">
        <v>51.15</v>
      </c>
      <c r="N571" s="6">
        <v>11.9</v>
      </c>
      <c r="O571" s="6">
        <v>35.37</v>
      </c>
      <c r="P571" s="6">
        <v>168</v>
      </c>
    </row>
    <row r="572" spans="1:16">
      <c r="A572" t="s">
        <v>44</v>
      </c>
      <c r="B572">
        <v>2013</v>
      </c>
      <c r="C572">
        <v>0.333319352922188</v>
      </c>
      <c r="D572" s="6">
        <v>35135</v>
      </c>
      <c r="E572" s="6">
        <v>880.8</v>
      </c>
      <c r="F572" s="2">
        <v>0.455170339820424</v>
      </c>
      <c r="G572" s="2">
        <v>2.05395884349358</v>
      </c>
      <c r="H572" s="2">
        <v>0.01518399</v>
      </c>
      <c r="I572" s="6">
        <v>1104.76</v>
      </c>
      <c r="J572" s="6">
        <v>666</v>
      </c>
      <c r="K572">
        <f t="shared" si="8"/>
        <v>1.6587987987988</v>
      </c>
      <c r="L572" s="2">
        <v>100.3569277</v>
      </c>
      <c r="M572" s="2">
        <v>52.84</v>
      </c>
      <c r="N572" s="6">
        <v>11.9</v>
      </c>
      <c r="O572" s="6">
        <v>32.93</v>
      </c>
      <c r="P572" s="6">
        <v>175.3</v>
      </c>
    </row>
    <row r="573" spans="1:16">
      <c r="A573" t="s">
        <v>44</v>
      </c>
      <c r="B573">
        <v>2014</v>
      </c>
      <c r="C573">
        <v>0.366622457304963</v>
      </c>
      <c r="D573" s="6">
        <v>36815</v>
      </c>
      <c r="E573" s="6">
        <v>999.5</v>
      </c>
      <c r="F573" s="2">
        <v>0.450179877925543</v>
      </c>
      <c r="G573" s="2">
        <v>1.99931282590242</v>
      </c>
      <c r="H573" s="2">
        <v>0.01525522</v>
      </c>
      <c r="I573" s="6">
        <v>1156.57</v>
      </c>
      <c r="J573" s="6">
        <v>678</v>
      </c>
      <c r="K573">
        <f t="shared" si="8"/>
        <v>1.70585545722714</v>
      </c>
      <c r="L573" s="2">
        <v>102.126506</v>
      </c>
      <c r="M573" s="2">
        <v>54.82</v>
      </c>
      <c r="N573" s="6">
        <v>12.6</v>
      </c>
      <c r="O573" s="6">
        <v>34.6</v>
      </c>
      <c r="P573" s="6">
        <v>153</v>
      </c>
    </row>
    <row r="574" spans="1:16">
      <c r="A574" t="s">
        <v>44</v>
      </c>
      <c r="B574">
        <v>2015</v>
      </c>
      <c r="C574">
        <v>0.417731319690088</v>
      </c>
      <c r="D574" s="6">
        <v>37876</v>
      </c>
      <c r="E574" s="6">
        <v>1143.9</v>
      </c>
      <c r="F574" s="2">
        <v>0.432968907497868</v>
      </c>
      <c r="G574" s="2">
        <v>2.10824222687447</v>
      </c>
      <c r="H574" s="2">
        <v>0.01542741</v>
      </c>
      <c r="I574" s="6">
        <v>1155</v>
      </c>
      <c r="J574" s="6">
        <v>684</v>
      </c>
      <c r="K574">
        <f t="shared" si="8"/>
        <v>1.68859649122807</v>
      </c>
      <c r="L574" s="2">
        <v>102.9457831</v>
      </c>
      <c r="M574" s="2">
        <v>56.98</v>
      </c>
      <c r="N574" s="6">
        <v>12.6</v>
      </c>
      <c r="O574" s="6">
        <v>45.49</v>
      </c>
      <c r="P574" s="6">
        <v>138.4</v>
      </c>
    </row>
    <row r="575" spans="1:16">
      <c r="A575" t="s">
        <v>44</v>
      </c>
      <c r="B575">
        <v>2016</v>
      </c>
      <c r="C575">
        <v>0.256702262116842</v>
      </c>
      <c r="D575" s="6">
        <v>40339</v>
      </c>
      <c r="E575" s="6">
        <v>1246.8</v>
      </c>
      <c r="F575" s="2">
        <v>0.424138922844611</v>
      </c>
      <c r="G575" s="2">
        <v>2.01013877903214</v>
      </c>
      <c r="H575" s="2">
        <v>0.01484442</v>
      </c>
      <c r="I575" s="6">
        <v>1144.38</v>
      </c>
      <c r="J575" s="6">
        <v>695</v>
      </c>
      <c r="K575">
        <f t="shared" si="8"/>
        <v>1.64658992805755</v>
      </c>
      <c r="L575" s="2">
        <v>104.6099398</v>
      </c>
      <c r="M575" s="2">
        <v>58.74</v>
      </c>
      <c r="N575" s="6">
        <v>12.6</v>
      </c>
      <c r="O575" s="6">
        <v>36.69</v>
      </c>
      <c r="P575" s="6">
        <v>143</v>
      </c>
    </row>
    <row r="576" spans="1:16">
      <c r="A576" t="s">
        <v>44</v>
      </c>
      <c r="B576">
        <v>2017</v>
      </c>
      <c r="C576">
        <v>0.248400822358816</v>
      </c>
      <c r="D576" s="6">
        <v>45718</v>
      </c>
      <c r="E576" s="6">
        <v>1428.5</v>
      </c>
      <c r="F576" s="2">
        <v>0.439333812455082</v>
      </c>
      <c r="G576" s="2">
        <v>2.01887323063463</v>
      </c>
      <c r="H576" s="2">
        <v>0.01550977</v>
      </c>
      <c r="I576" s="6">
        <v>1380.94</v>
      </c>
      <c r="J576" s="6">
        <v>705</v>
      </c>
      <c r="K576">
        <f t="shared" si="8"/>
        <v>1.95878014184397</v>
      </c>
      <c r="L576" s="2">
        <v>106.186747</v>
      </c>
      <c r="M576" s="2">
        <v>60.95</v>
      </c>
      <c r="N576" s="6">
        <v>12.6</v>
      </c>
      <c r="O576" s="6">
        <v>57.61</v>
      </c>
      <c r="P576" s="6">
        <v>159.2</v>
      </c>
    </row>
    <row r="577" spans="1:16">
      <c r="A577" t="s">
        <v>44</v>
      </c>
      <c r="B577">
        <v>2018</v>
      </c>
      <c r="C577">
        <v>0.22681450072495</v>
      </c>
      <c r="D577" s="6">
        <v>49614</v>
      </c>
      <c r="E577" s="6">
        <v>1609.5</v>
      </c>
      <c r="F577" s="2">
        <v>0.423935958065068</v>
      </c>
      <c r="G577" s="2">
        <v>2.02267677055438</v>
      </c>
      <c r="H577" s="2">
        <v>0.01543215</v>
      </c>
      <c r="I577" s="6">
        <v>1609.97</v>
      </c>
      <c r="J577" s="6">
        <v>710</v>
      </c>
      <c r="K577">
        <f t="shared" si="8"/>
        <v>2.26756338028169</v>
      </c>
      <c r="L577" s="2">
        <v>106.8584337</v>
      </c>
      <c r="M577" s="2">
        <v>62.15</v>
      </c>
      <c r="N577" s="6">
        <v>12.6</v>
      </c>
      <c r="O577" s="6">
        <v>72.38</v>
      </c>
      <c r="P577" s="6">
        <v>214.6</v>
      </c>
    </row>
    <row r="578" spans="1:16">
      <c r="A578" t="s">
        <v>44</v>
      </c>
      <c r="B578">
        <v>2019</v>
      </c>
      <c r="C578">
        <v>0.205813197187292</v>
      </c>
      <c r="D578" s="6">
        <v>52537</v>
      </c>
      <c r="E578" s="6">
        <v>1808.5</v>
      </c>
      <c r="F578" s="2">
        <v>0.423396025076697</v>
      </c>
      <c r="G578" s="2">
        <v>2.04028277977858</v>
      </c>
      <c r="H578" s="2">
        <v>0.01495368</v>
      </c>
      <c r="I578" s="6">
        <v>1765.97</v>
      </c>
      <c r="J578" s="6">
        <v>717</v>
      </c>
      <c r="K578">
        <f t="shared" si="8"/>
        <v>2.46299860529986</v>
      </c>
      <c r="L578" s="2">
        <v>107.9713855</v>
      </c>
      <c r="M578" s="2">
        <v>63.63</v>
      </c>
      <c r="N578" s="6">
        <v>12.6</v>
      </c>
      <c r="O578" s="6">
        <v>54.04</v>
      </c>
      <c r="P578" s="6">
        <v>182.2</v>
      </c>
    </row>
    <row r="579" spans="1:16">
      <c r="A579" t="s">
        <v>44</v>
      </c>
      <c r="B579">
        <v>2020</v>
      </c>
      <c r="C579">
        <v>0.198939175861649</v>
      </c>
      <c r="D579" s="6">
        <v>55021</v>
      </c>
      <c r="E579" s="6">
        <v>2026.5</v>
      </c>
      <c r="F579" s="2">
        <v>0.411824179157293</v>
      </c>
      <c r="G579" s="2">
        <v>2.00515633293734</v>
      </c>
      <c r="H579" s="2">
        <v>0.01381973</v>
      </c>
      <c r="I579" s="6">
        <v>1882.36</v>
      </c>
      <c r="J579" s="6">
        <v>721</v>
      </c>
      <c r="K579">
        <f t="shared" ref="K579:K601" si="9">I579/J579</f>
        <v>2.61076282940361</v>
      </c>
      <c r="L579" s="2">
        <v>108.5737952</v>
      </c>
      <c r="M579" s="2">
        <v>64.96</v>
      </c>
      <c r="N579" s="6">
        <v>12.6</v>
      </c>
      <c r="O579" s="6">
        <v>49.48</v>
      </c>
      <c r="P579" s="6">
        <v>153</v>
      </c>
    </row>
    <row r="580" spans="1:16">
      <c r="A580" t="s">
        <v>44</v>
      </c>
      <c r="B580">
        <v>2021</v>
      </c>
      <c r="C580">
        <v>0.185281566701364</v>
      </c>
      <c r="D580" s="6">
        <v>63461</v>
      </c>
      <c r="E580" s="6">
        <v>2264.8</v>
      </c>
      <c r="F580" s="2">
        <v>0.457521468113857</v>
      </c>
      <c r="G580" s="2">
        <v>1.75404297981779</v>
      </c>
      <c r="H580" s="2">
        <v>0.01393016</v>
      </c>
      <c r="I580" s="6">
        <v>2082.89</v>
      </c>
      <c r="J580" s="6">
        <v>725</v>
      </c>
      <c r="K580">
        <f t="shared" si="9"/>
        <v>2.87295172413793</v>
      </c>
      <c r="L580" s="2">
        <v>109.186747</v>
      </c>
      <c r="M580" s="2">
        <v>66.04</v>
      </c>
      <c r="N580" s="6">
        <v>12.6</v>
      </c>
      <c r="O580" s="6">
        <v>47.71</v>
      </c>
      <c r="P580" s="6">
        <v>128.6</v>
      </c>
    </row>
    <row r="581" spans="1:16">
      <c r="A581" t="s">
        <v>44</v>
      </c>
      <c r="B581">
        <v>2022</v>
      </c>
      <c r="C581">
        <v>0.182176636983279</v>
      </c>
      <c r="D581" s="6">
        <v>70263</v>
      </c>
      <c r="E581" s="6">
        <v>2524.6</v>
      </c>
      <c r="F581" s="2">
        <v>0.483095313239703</v>
      </c>
      <c r="G581" s="2">
        <v>1.71196938614486</v>
      </c>
      <c r="H581" s="2">
        <v>0.017488796</v>
      </c>
      <c r="I581" s="6">
        <v>2198.58</v>
      </c>
      <c r="J581" s="6">
        <v>728</v>
      </c>
      <c r="K581">
        <f t="shared" si="9"/>
        <v>3.02002747252747</v>
      </c>
      <c r="L581" s="2">
        <v>109.6385542</v>
      </c>
      <c r="M581" s="2">
        <v>61.802</v>
      </c>
      <c r="N581" s="6">
        <v>12.6</v>
      </c>
      <c r="O581" s="6">
        <v>58.2</v>
      </c>
      <c r="P581" s="6">
        <v>122.5</v>
      </c>
    </row>
    <row r="582" spans="1:16">
      <c r="A582" t="s">
        <v>45</v>
      </c>
      <c r="B582">
        <v>2003</v>
      </c>
      <c r="C582">
        <v>0.411147404200855</v>
      </c>
      <c r="D582" s="6">
        <v>9842</v>
      </c>
      <c r="E582" s="6">
        <v>608.7</v>
      </c>
      <c r="F582" s="2">
        <v>0.370686004658056</v>
      </c>
      <c r="G582" s="2">
        <v>2.21078234173195</v>
      </c>
      <c r="H582" s="2">
        <v>0.01250243</v>
      </c>
      <c r="I582" s="6">
        <v>233.53</v>
      </c>
      <c r="J582" s="6">
        <v>1934</v>
      </c>
      <c r="K582">
        <f t="shared" si="9"/>
        <v>0.120749741468459</v>
      </c>
      <c r="L582" s="2">
        <v>11.85381551</v>
      </c>
      <c r="M582" s="2">
        <v>34.39</v>
      </c>
      <c r="N582" s="6">
        <v>4</v>
      </c>
      <c r="O582" s="6">
        <v>15.72</v>
      </c>
      <c r="P582" s="6">
        <v>4365.7</v>
      </c>
    </row>
    <row r="583" spans="1:16">
      <c r="A583" t="s">
        <v>45</v>
      </c>
      <c r="B583">
        <v>2004</v>
      </c>
      <c r="C583">
        <v>0.471494394043279</v>
      </c>
      <c r="D583" s="6">
        <v>11139</v>
      </c>
      <c r="E583" s="6">
        <v>671.3</v>
      </c>
      <c r="F583" s="2">
        <v>0.408726502027276</v>
      </c>
      <c r="G583" s="2">
        <v>2.26209915223</v>
      </c>
      <c r="H583" s="2">
        <v>0.01224725</v>
      </c>
      <c r="I583" s="6">
        <v>263.84</v>
      </c>
      <c r="J583" s="6">
        <v>1963</v>
      </c>
      <c r="K583">
        <f t="shared" si="9"/>
        <v>0.134406520631686</v>
      </c>
      <c r="L583" s="2">
        <v>12.03254674</v>
      </c>
      <c r="M583" s="2">
        <v>35.16</v>
      </c>
      <c r="N583" s="6">
        <v>4</v>
      </c>
      <c r="O583" s="6">
        <v>17.22</v>
      </c>
      <c r="P583" s="6">
        <v>4357.6</v>
      </c>
    </row>
    <row r="584" spans="1:16">
      <c r="A584" t="s">
        <v>45</v>
      </c>
      <c r="B584">
        <v>2005</v>
      </c>
      <c r="C584">
        <v>0.461728380803699</v>
      </c>
      <c r="D584" s="6">
        <v>12687</v>
      </c>
      <c r="E584" s="6">
        <v>757.8</v>
      </c>
      <c r="F584" s="2">
        <v>0.447173179924618</v>
      </c>
      <c r="G584" s="2">
        <v>2.18468557825828</v>
      </c>
      <c r="H584" s="2">
        <v>0.01252699</v>
      </c>
      <c r="I584" s="6">
        <v>310.11</v>
      </c>
      <c r="J584" s="6">
        <v>2010</v>
      </c>
      <c r="K584">
        <f t="shared" si="9"/>
        <v>0.154283582089552</v>
      </c>
      <c r="L584" s="2">
        <v>12.32209623</v>
      </c>
      <c r="M584" s="2">
        <v>37.15</v>
      </c>
      <c r="N584" s="6">
        <v>4</v>
      </c>
      <c r="O584" s="6">
        <v>18.86</v>
      </c>
      <c r="P584" s="6">
        <v>4808.9</v>
      </c>
    </row>
    <row r="585" spans="1:16">
      <c r="A585" t="s">
        <v>45</v>
      </c>
      <c r="B585">
        <v>2006</v>
      </c>
      <c r="C585">
        <v>0.43696362036123</v>
      </c>
      <c r="D585" s="6">
        <v>14567</v>
      </c>
      <c r="E585" s="6">
        <v>842.7</v>
      </c>
      <c r="F585" s="2">
        <v>0.47671862847868</v>
      </c>
      <c r="G585" s="2">
        <v>2.04486186724377</v>
      </c>
      <c r="H585" s="2">
        <v>0.01256221</v>
      </c>
      <c r="I585" s="6">
        <v>357.14</v>
      </c>
      <c r="J585" s="6">
        <v>2050</v>
      </c>
      <c r="K585">
        <f t="shared" si="9"/>
        <v>0.174214634146341</v>
      </c>
      <c r="L585" s="2">
        <v>12.56512412</v>
      </c>
      <c r="M585" s="2">
        <v>37.94</v>
      </c>
      <c r="N585" s="6">
        <v>4</v>
      </c>
      <c r="O585" s="6">
        <v>20.65</v>
      </c>
      <c r="P585" s="6">
        <v>4695.1</v>
      </c>
    </row>
    <row r="586" spans="1:16">
      <c r="A586" t="s">
        <v>45</v>
      </c>
      <c r="B586">
        <v>2007</v>
      </c>
      <c r="C586">
        <v>0.36586013272414</v>
      </c>
      <c r="D586" s="6">
        <v>16887</v>
      </c>
      <c r="E586" s="6">
        <v>1001.3</v>
      </c>
      <c r="F586" s="2">
        <v>0.453857142857143</v>
      </c>
      <c r="G586" s="2">
        <v>1.87878</v>
      </c>
      <c r="H586" s="2">
        <v>0.01269783</v>
      </c>
      <c r="I586" s="6">
        <v>413.62</v>
      </c>
      <c r="J586" s="6">
        <v>2095</v>
      </c>
      <c r="K586">
        <f t="shared" si="9"/>
        <v>0.197431980906921</v>
      </c>
      <c r="L586" s="2">
        <v>12.84210849</v>
      </c>
      <c r="M586" s="2">
        <v>39.15</v>
      </c>
      <c r="N586" s="6">
        <v>4</v>
      </c>
      <c r="O586" s="6">
        <v>22.62</v>
      </c>
      <c r="P586" s="6">
        <v>4167.8</v>
      </c>
    </row>
    <row r="587" spans="1:16">
      <c r="A587" t="s">
        <v>45</v>
      </c>
      <c r="B587">
        <v>2008</v>
      </c>
      <c r="C587">
        <v>0.357335716846193</v>
      </c>
      <c r="D587" s="6">
        <v>19605</v>
      </c>
      <c r="E587" s="6">
        <v>1166.5</v>
      </c>
      <c r="F587" s="2">
        <v>0.48082076041038</v>
      </c>
      <c r="G587" s="2">
        <v>1.70645745322873</v>
      </c>
      <c r="H587" s="2">
        <v>0.0139555</v>
      </c>
      <c r="I587" s="6">
        <v>489.07</v>
      </c>
      <c r="J587" s="6">
        <v>2131</v>
      </c>
      <c r="K587">
        <f t="shared" si="9"/>
        <v>0.229502580947912</v>
      </c>
      <c r="L587" s="2">
        <v>13.06043518</v>
      </c>
      <c r="M587" s="2">
        <v>39.64</v>
      </c>
      <c r="N587" s="6">
        <v>4</v>
      </c>
      <c r="O587" s="6">
        <v>30.47</v>
      </c>
      <c r="P587" s="6">
        <v>3859.9</v>
      </c>
    </row>
    <row r="588" spans="1:16">
      <c r="A588" t="s">
        <v>45</v>
      </c>
      <c r="B588">
        <v>2009</v>
      </c>
      <c r="C588">
        <v>0.348901438684561</v>
      </c>
      <c r="D588" s="6">
        <v>19755</v>
      </c>
      <c r="E588" s="6">
        <v>1275.1</v>
      </c>
      <c r="F588" s="2">
        <v>0.43568562662261</v>
      </c>
      <c r="G588" s="2">
        <v>1.77625678546141</v>
      </c>
      <c r="H588" s="2">
        <v>0.01497129</v>
      </c>
      <c r="I588" s="6">
        <v>549.07</v>
      </c>
      <c r="J588" s="6">
        <v>2159</v>
      </c>
      <c r="K588">
        <f t="shared" si="9"/>
        <v>0.254316813339509</v>
      </c>
      <c r="L588" s="2">
        <v>13.23095311</v>
      </c>
      <c r="M588" s="2">
        <v>39.85</v>
      </c>
      <c r="N588" s="6">
        <v>4.2</v>
      </c>
      <c r="O588" s="6">
        <v>36.42</v>
      </c>
      <c r="P588" s="6">
        <v>3516.6</v>
      </c>
    </row>
    <row r="589" spans="1:16">
      <c r="A589" t="s">
        <v>45</v>
      </c>
      <c r="B589">
        <v>2010</v>
      </c>
      <c r="C589">
        <v>0.307217239743495</v>
      </c>
      <c r="D589" s="6">
        <v>24700</v>
      </c>
      <c r="E589" s="6">
        <v>1607.2</v>
      </c>
      <c r="F589" s="2">
        <v>0.462631991343607</v>
      </c>
      <c r="G589" s="2">
        <v>1.54662139472408</v>
      </c>
      <c r="H589" s="2">
        <v>0.0157614</v>
      </c>
      <c r="I589" s="6">
        <v>679.32</v>
      </c>
      <c r="J589" s="6">
        <v>2185</v>
      </c>
      <c r="K589">
        <f t="shared" si="9"/>
        <v>0.310901601830664</v>
      </c>
      <c r="L589" s="2">
        <v>13.39325774</v>
      </c>
      <c r="M589" s="2">
        <v>43.01</v>
      </c>
      <c r="N589" s="6">
        <v>4.2</v>
      </c>
      <c r="O589" s="6">
        <v>51.02</v>
      </c>
      <c r="P589" s="6">
        <v>5125.2</v>
      </c>
    </row>
    <row r="590" spans="1:16">
      <c r="A590" t="s">
        <v>45</v>
      </c>
      <c r="B590">
        <v>2011</v>
      </c>
      <c r="C590">
        <v>0.315489057135828</v>
      </c>
      <c r="D590" s="6">
        <v>29624</v>
      </c>
      <c r="E590" s="6">
        <v>1954.3</v>
      </c>
      <c r="F590" s="2">
        <v>0.47357624004899</v>
      </c>
      <c r="G590" s="2">
        <v>1.51974892835273</v>
      </c>
      <c r="H590" s="2">
        <v>0.01784346</v>
      </c>
      <c r="I590" s="6">
        <v>875.18</v>
      </c>
      <c r="J590" s="6">
        <v>2225</v>
      </c>
      <c r="K590">
        <f t="shared" si="9"/>
        <v>0.393339325842697</v>
      </c>
      <c r="L590" s="2">
        <v>13.63775667</v>
      </c>
      <c r="M590" s="2">
        <v>43.73</v>
      </c>
      <c r="N590" s="6">
        <v>4.2</v>
      </c>
      <c r="O590" s="6">
        <v>53.67</v>
      </c>
      <c r="P590" s="6">
        <v>4031.3</v>
      </c>
    </row>
    <row r="591" spans="1:16">
      <c r="A591" t="s">
        <v>45</v>
      </c>
      <c r="B591">
        <v>2012</v>
      </c>
      <c r="C591">
        <v>0.303640533212143</v>
      </c>
      <c r="D591" s="6">
        <v>33103</v>
      </c>
      <c r="E591" s="6">
        <v>2370.7</v>
      </c>
      <c r="F591" s="2">
        <v>0.448730402871097</v>
      </c>
      <c r="G591" s="2">
        <v>1.5962910494077</v>
      </c>
      <c r="H591" s="2">
        <v>0.02199572</v>
      </c>
      <c r="I591" s="6">
        <v>1051.6</v>
      </c>
      <c r="J591" s="6">
        <v>2253</v>
      </c>
      <c r="K591">
        <f t="shared" si="9"/>
        <v>0.466755437194851</v>
      </c>
      <c r="L591" s="2">
        <v>13.80937787</v>
      </c>
      <c r="M591" s="2">
        <v>44.22</v>
      </c>
      <c r="N591" s="6">
        <v>4.2</v>
      </c>
      <c r="O591" s="6">
        <v>64.12</v>
      </c>
      <c r="P591" s="6">
        <v>4055.5</v>
      </c>
    </row>
    <row r="592" spans="1:16">
      <c r="A592" t="s">
        <v>45</v>
      </c>
      <c r="B592">
        <v>2013</v>
      </c>
      <c r="C592">
        <v>0.298308808128618</v>
      </c>
      <c r="D592" s="6">
        <v>36988</v>
      </c>
      <c r="E592" s="6">
        <v>2563.5</v>
      </c>
      <c r="F592" s="2">
        <v>0.414639086814575</v>
      </c>
      <c r="G592" s="2">
        <v>1.62428806329385</v>
      </c>
      <c r="H592" s="2">
        <v>0.02882165</v>
      </c>
      <c r="I592" s="6">
        <v>1667.82</v>
      </c>
      <c r="J592" s="6">
        <v>2285</v>
      </c>
      <c r="K592">
        <f t="shared" si="9"/>
        <v>0.729899343544858</v>
      </c>
      <c r="L592" s="2">
        <v>14.0055164</v>
      </c>
      <c r="M592" s="2">
        <v>44.94</v>
      </c>
      <c r="N592" s="6">
        <v>4.2</v>
      </c>
      <c r="O592" s="6">
        <v>68.99</v>
      </c>
      <c r="P592" s="6">
        <v>4251.9</v>
      </c>
    </row>
    <row r="593" spans="1:16">
      <c r="A593" t="s">
        <v>45</v>
      </c>
      <c r="B593">
        <v>2014</v>
      </c>
      <c r="C593">
        <v>0.317310261977272</v>
      </c>
      <c r="D593" s="6">
        <v>40193</v>
      </c>
      <c r="E593" s="6">
        <v>2837</v>
      </c>
      <c r="F593" s="2">
        <v>0.413330454962491</v>
      </c>
      <c r="G593" s="2">
        <v>1.61110475470883</v>
      </c>
      <c r="H593" s="2">
        <v>0.03415443</v>
      </c>
      <c r="I593" s="6">
        <v>2090.93</v>
      </c>
      <c r="J593" s="6">
        <v>2325</v>
      </c>
      <c r="K593">
        <f t="shared" si="9"/>
        <v>0.899324731182796</v>
      </c>
      <c r="L593" s="2">
        <v>14.25068955</v>
      </c>
      <c r="M593" s="2">
        <v>46.79</v>
      </c>
      <c r="N593" s="6">
        <v>4.9</v>
      </c>
      <c r="O593" s="6">
        <v>70.86</v>
      </c>
      <c r="P593" s="6">
        <v>3186.9</v>
      </c>
    </row>
    <row r="594" spans="1:16">
      <c r="A594" t="s">
        <v>45</v>
      </c>
      <c r="B594">
        <v>2015</v>
      </c>
      <c r="C594">
        <v>0.330807638197741</v>
      </c>
      <c r="D594" s="6">
        <v>39520</v>
      </c>
      <c r="E594" s="6">
        <v>3187.1</v>
      </c>
      <c r="F594" s="2">
        <v>0.370273667923798</v>
      </c>
      <c r="G594" s="2">
        <v>1.68326725332818</v>
      </c>
      <c r="H594" s="2">
        <v>0.03794536</v>
      </c>
      <c r="I594" s="6">
        <v>2479</v>
      </c>
      <c r="J594" s="6">
        <v>2385</v>
      </c>
      <c r="K594">
        <f t="shared" si="9"/>
        <v>1.03941299790356</v>
      </c>
      <c r="L594" s="2">
        <v>14.61844928</v>
      </c>
      <c r="M594" s="2">
        <v>48.78</v>
      </c>
      <c r="N594" s="6">
        <v>4.9</v>
      </c>
      <c r="O594" s="6">
        <v>71.51</v>
      </c>
      <c r="P594" s="6">
        <v>3994.2</v>
      </c>
    </row>
    <row r="595" spans="1:16">
      <c r="A595" t="s">
        <v>45</v>
      </c>
      <c r="B595">
        <v>2016</v>
      </c>
      <c r="C595">
        <v>0.228818974347127</v>
      </c>
      <c r="D595" s="6">
        <v>40020</v>
      </c>
      <c r="E595" s="6">
        <v>3627.2</v>
      </c>
      <c r="F595" s="2">
        <v>0.357820741786767</v>
      </c>
      <c r="G595" s="2">
        <v>1.69269427254226</v>
      </c>
      <c r="H595" s="2">
        <v>0.03877101</v>
      </c>
      <c r="I595" s="6">
        <v>2719.13</v>
      </c>
      <c r="J595" s="6">
        <v>2428</v>
      </c>
      <c r="K595">
        <f t="shared" si="9"/>
        <v>1.11990527182867</v>
      </c>
      <c r="L595" s="2">
        <v>14.88201042</v>
      </c>
      <c r="M595" s="2">
        <v>50.42</v>
      </c>
      <c r="N595" s="6">
        <v>4.9</v>
      </c>
      <c r="O595" s="6">
        <v>65.07</v>
      </c>
      <c r="P595" s="6">
        <v>4596</v>
      </c>
    </row>
    <row r="596" spans="1:16">
      <c r="A596" t="s">
        <v>45</v>
      </c>
      <c r="B596">
        <v>2017</v>
      </c>
      <c r="C596">
        <v>0.223665486923121</v>
      </c>
      <c r="D596" s="6">
        <v>45476</v>
      </c>
      <c r="E596" s="6">
        <v>4052.4</v>
      </c>
      <c r="F596" s="2">
        <v>0.367046299698026</v>
      </c>
      <c r="G596" s="2">
        <v>1.55789926433033</v>
      </c>
      <c r="H596" s="2">
        <v>0.03172236</v>
      </c>
      <c r="I596" s="6">
        <v>3010.78</v>
      </c>
      <c r="J596" s="6">
        <v>2480</v>
      </c>
      <c r="K596">
        <f t="shared" si="9"/>
        <v>1.21402419354839</v>
      </c>
      <c r="L596" s="2">
        <v>15.20073552</v>
      </c>
      <c r="M596" s="2">
        <v>51.9</v>
      </c>
      <c r="N596" s="6">
        <v>4.9</v>
      </c>
      <c r="O596" s="6">
        <v>54.66</v>
      </c>
      <c r="P596" s="6">
        <v>4206.4</v>
      </c>
    </row>
    <row r="597" spans="1:16">
      <c r="A597" t="s">
        <v>45</v>
      </c>
      <c r="B597">
        <v>2018</v>
      </c>
      <c r="C597">
        <v>0.222757454053963</v>
      </c>
      <c r="D597" s="6">
        <v>51238</v>
      </c>
      <c r="E597" s="6">
        <v>4519.5</v>
      </c>
      <c r="F597" s="2">
        <v>0.363576748325449</v>
      </c>
      <c r="G597" s="2">
        <v>1.38132933626868</v>
      </c>
      <c r="H597" s="2">
        <v>0.0389335</v>
      </c>
      <c r="I597" s="6">
        <v>3283.25</v>
      </c>
      <c r="J597" s="6">
        <v>2520</v>
      </c>
      <c r="K597">
        <f t="shared" si="9"/>
        <v>1.30287698412698</v>
      </c>
      <c r="L597" s="2">
        <v>15.44590867</v>
      </c>
      <c r="M597" s="2">
        <v>54.01</v>
      </c>
      <c r="N597" s="6">
        <v>4.9</v>
      </c>
      <c r="O597" s="6">
        <v>94.33</v>
      </c>
      <c r="P597" s="6">
        <v>3482.6</v>
      </c>
    </row>
    <row r="598" spans="1:16">
      <c r="A598" t="s">
        <v>45</v>
      </c>
      <c r="B598">
        <v>2019</v>
      </c>
      <c r="C598">
        <v>0.209940090698835</v>
      </c>
      <c r="D598" s="6">
        <v>53542</v>
      </c>
      <c r="E598" s="6">
        <v>5021.6</v>
      </c>
      <c r="F598" s="2">
        <v>0.351869148568445</v>
      </c>
      <c r="G598" s="2">
        <v>1.35984879128638</v>
      </c>
      <c r="H598" s="2">
        <v>0.03956134</v>
      </c>
      <c r="I598" s="6">
        <v>3670.49</v>
      </c>
      <c r="J598" s="6">
        <v>2559</v>
      </c>
      <c r="K598">
        <f t="shared" si="9"/>
        <v>1.43434544744041</v>
      </c>
      <c r="L598" s="2">
        <v>15.6849525</v>
      </c>
      <c r="M598" s="2">
        <v>55.51</v>
      </c>
      <c r="N598" s="6">
        <v>4.9</v>
      </c>
      <c r="O598" s="6">
        <v>87.86</v>
      </c>
      <c r="P598" s="6">
        <v>3473.5</v>
      </c>
    </row>
    <row r="599" spans="1:16">
      <c r="A599" t="s">
        <v>45</v>
      </c>
      <c r="B599">
        <v>2020</v>
      </c>
      <c r="C599">
        <v>0.191194194549364</v>
      </c>
      <c r="D599" s="6">
        <v>53606</v>
      </c>
      <c r="E599" s="6">
        <v>5559.4</v>
      </c>
      <c r="F599" s="2">
        <v>0.346844725267559</v>
      </c>
      <c r="G599" s="2">
        <v>1.37542298579058</v>
      </c>
      <c r="H599" s="2">
        <v>0.03991479</v>
      </c>
      <c r="I599" s="6">
        <v>4121.86</v>
      </c>
      <c r="J599" s="6">
        <v>2590</v>
      </c>
      <c r="K599">
        <f t="shared" si="9"/>
        <v>1.59145173745174</v>
      </c>
      <c r="L599" s="2">
        <v>15.87796506</v>
      </c>
      <c r="M599" s="2">
        <v>56.53</v>
      </c>
      <c r="N599" s="6">
        <v>4.9</v>
      </c>
      <c r="O599" s="6">
        <v>82.59</v>
      </c>
      <c r="P599" s="6">
        <v>3111.3</v>
      </c>
    </row>
    <row r="600" spans="1:16">
      <c r="A600" t="s">
        <v>45</v>
      </c>
      <c r="B600">
        <v>2021</v>
      </c>
      <c r="C600">
        <v>0.176852919984133</v>
      </c>
      <c r="D600" s="6">
        <v>62991</v>
      </c>
      <c r="E600" s="6">
        <v>6133.4</v>
      </c>
      <c r="F600" s="2">
        <v>0.385976850830084</v>
      </c>
      <c r="G600" s="2">
        <v>1.2591228083082</v>
      </c>
      <c r="H600" s="2">
        <v>0.04242803</v>
      </c>
      <c r="I600" s="6">
        <v>4683.55</v>
      </c>
      <c r="J600" s="6">
        <v>2589</v>
      </c>
      <c r="K600">
        <f t="shared" si="9"/>
        <v>1.80901892622634</v>
      </c>
      <c r="L600" s="2">
        <v>15.86883236</v>
      </c>
      <c r="M600" s="2">
        <v>57.26</v>
      </c>
      <c r="N600" s="6">
        <v>4.9</v>
      </c>
      <c r="O600" s="6">
        <v>93.48</v>
      </c>
      <c r="P600" s="6">
        <v>3124.2</v>
      </c>
    </row>
    <row r="601" spans="1:16">
      <c r="A601" t="s">
        <v>45</v>
      </c>
      <c r="B601">
        <v>2022</v>
      </c>
      <c r="C601">
        <v>0.174855150090406</v>
      </c>
      <c r="D601" s="6">
        <v>69717</v>
      </c>
      <c r="E601" s="6">
        <v>6743.9</v>
      </c>
      <c r="F601" s="2">
        <v>0.409840316098595</v>
      </c>
      <c r="G601" s="2">
        <v>1.16807406268988</v>
      </c>
      <c r="H601" s="2">
        <v>0.03359716</v>
      </c>
      <c r="I601" s="6">
        <v>4907.1</v>
      </c>
      <c r="J601" s="6">
        <v>2587</v>
      </c>
      <c r="K601">
        <f t="shared" si="9"/>
        <v>1.89683030537302</v>
      </c>
      <c r="L601" s="2">
        <v>15.85657371</v>
      </c>
      <c r="M601" s="2">
        <v>58.018</v>
      </c>
      <c r="N601" s="6">
        <v>4.9</v>
      </c>
      <c r="O601" s="6">
        <v>124.99</v>
      </c>
      <c r="P601" s="6">
        <v>3532.1</v>
      </c>
    </row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 spans="6:13">
      <c r="F1048091" s="2"/>
      <c r="G1048091" s="2"/>
      <c r="H1048091" s="2"/>
      <c r="L1048091" s="2"/>
      <c r="M1048091" s="2"/>
    </row>
    <row r="1048092" customFormat="1" spans="6:13">
      <c r="F1048092" s="2"/>
      <c r="G1048092" s="2"/>
      <c r="H1048092" s="2"/>
      <c r="L1048092" s="2"/>
      <c r="M1048092" s="2"/>
    </row>
    <row r="1048093" customFormat="1" spans="6:13">
      <c r="F1048093" s="2"/>
      <c r="G1048093" s="2"/>
      <c r="H1048093" s="2"/>
      <c r="L1048093" s="2"/>
      <c r="M1048093" s="2"/>
    </row>
    <row r="1048094" customFormat="1" spans="6:13">
      <c r="F1048094" s="2"/>
      <c r="G1048094" s="2"/>
      <c r="H1048094" s="2"/>
      <c r="L1048094" s="2"/>
      <c r="M1048094" s="2"/>
    </row>
    <row r="1048095" customFormat="1" spans="6:13">
      <c r="F1048095" s="2"/>
      <c r="G1048095" s="2"/>
      <c r="H1048095" s="2"/>
      <c r="L1048095" s="2"/>
      <c r="M1048095" s="2"/>
    </row>
    <row r="1048096" customFormat="1" spans="6:13">
      <c r="F1048096" s="2"/>
      <c r="G1048096" s="2"/>
      <c r="H1048096" s="2"/>
      <c r="L1048096" s="2"/>
      <c r="M1048096" s="2"/>
    </row>
    <row r="1048097" customFormat="1" spans="6:13">
      <c r="F1048097" s="2"/>
      <c r="G1048097" s="2"/>
      <c r="H1048097" s="2"/>
      <c r="L1048097" s="2"/>
      <c r="M1048097" s="2"/>
    </row>
    <row r="1048098" customFormat="1" spans="6:13">
      <c r="F1048098" s="2"/>
      <c r="G1048098" s="2"/>
      <c r="H1048098" s="2"/>
      <c r="L1048098" s="2"/>
      <c r="M1048098" s="2"/>
    </row>
    <row r="1048099" customFormat="1" spans="6:13">
      <c r="F1048099" s="2"/>
      <c r="G1048099" s="2"/>
      <c r="H1048099" s="2"/>
      <c r="L1048099" s="2"/>
      <c r="M1048099" s="2"/>
    </row>
    <row r="1048100" customFormat="1" spans="6:13">
      <c r="F1048100" s="2"/>
      <c r="G1048100" s="2"/>
      <c r="H1048100" s="2"/>
      <c r="L1048100" s="2"/>
      <c r="M1048100" s="2"/>
    </row>
    <row r="1048101" customFormat="1" spans="6:13">
      <c r="F1048101" s="2"/>
      <c r="G1048101" s="2"/>
      <c r="H1048101" s="2"/>
      <c r="L1048101" s="2"/>
      <c r="M1048101" s="2"/>
    </row>
    <row r="1048102" customFormat="1" spans="6:13">
      <c r="F1048102" s="2"/>
      <c r="G1048102" s="2"/>
      <c r="H1048102" s="2"/>
      <c r="L1048102" s="2"/>
      <c r="M1048102" s="2"/>
    </row>
    <row r="1048103" customFormat="1" spans="6:13">
      <c r="F1048103" s="2"/>
      <c r="G1048103" s="2"/>
      <c r="H1048103" s="2"/>
      <c r="L1048103" s="2"/>
      <c r="M1048103" s="2"/>
    </row>
    <row r="1048104" customFormat="1" spans="6:13">
      <c r="F1048104" s="2"/>
      <c r="G1048104" s="2"/>
      <c r="H1048104" s="2"/>
      <c r="L1048104" s="2"/>
      <c r="M1048104" s="2"/>
    </row>
    <row r="1048105" customFormat="1" spans="6:13">
      <c r="F1048105" s="2"/>
      <c r="G1048105" s="2"/>
      <c r="H1048105" s="2"/>
      <c r="L1048105" s="2"/>
      <c r="M1048105" s="2"/>
    </row>
    <row r="1048106" customFormat="1" spans="6:13">
      <c r="F1048106" s="2"/>
      <c r="G1048106" s="2"/>
      <c r="H1048106" s="2"/>
      <c r="L1048106" s="2"/>
      <c r="M1048106" s="2"/>
    </row>
    <row r="1048107" customFormat="1" spans="6:13">
      <c r="F1048107" s="2"/>
      <c r="G1048107" s="2"/>
      <c r="H1048107" s="2"/>
      <c r="L1048107" s="2"/>
      <c r="M1048107" s="2"/>
    </row>
    <row r="1048108" customFormat="1" spans="6:13">
      <c r="F1048108" s="2"/>
      <c r="G1048108" s="2"/>
      <c r="H1048108" s="2"/>
      <c r="L1048108" s="2"/>
      <c r="M1048108" s="2"/>
    </row>
    <row r="1048109" customFormat="1" spans="6:13">
      <c r="F1048109" s="2"/>
      <c r="G1048109" s="2"/>
      <c r="H1048109" s="2"/>
      <c r="L1048109" s="2"/>
      <c r="M1048109" s="2"/>
    </row>
    <row r="1048110" customFormat="1" spans="6:13">
      <c r="F1048110" s="2"/>
      <c r="G1048110" s="2"/>
      <c r="H1048110" s="2"/>
      <c r="L1048110" s="2"/>
      <c r="M1048110" s="2"/>
    </row>
    <row r="1048111" customFormat="1" spans="6:13">
      <c r="F1048111" s="2"/>
      <c r="G1048111" s="2"/>
      <c r="H1048111" s="2"/>
      <c r="L1048111" s="2"/>
      <c r="M1048111" s="2"/>
    </row>
    <row r="1048112" customFormat="1" spans="6:13">
      <c r="F1048112" s="2"/>
      <c r="G1048112" s="2"/>
      <c r="H1048112" s="2"/>
      <c r="L1048112" s="2"/>
      <c r="M1048112" s="2"/>
    </row>
    <row r="1048113" customFormat="1" spans="6:13">
      <c r="F1048113" s="2"/>
      <c r="G1048113" s="2"/>
      <c r="H1048113" s="2"/>
      <c r="L1048113" s="2"/>
      <c r="M1048113" s="2"/>
    </row>
    <row r="1048114" customFormat="1" spans="6:13">
      <c r="F1048114" s="2"/>
      <c r="G1048114" s="2"/>
      <c r="H1048114" s="2"/>
      <c r="L1048114" s="2"/>
      <c r="M1048114" s="2"/>
    </row>
    <row r="1048115" customFormat="1" spans="6:13">
      <c r="F1048115" s="2"/>
      <c r="G1048115" s="2"/>
      <c r="H1048115" s="2"/>
      <c r="L1048115" s="2"/>
      <c r="M1048115" s="2"/>
    </row>
    <row r="1048116" customFormat="1" spans="6:13">
      <c r="F1048116" s="2"/>
      <c r="G1048116" s="2"/>
      <c r="H1048116" s="2"/>
      <c r="L1048116" s="2"/>
      <c r="M1048116" s="2"/>
    </row>
    <row r="1048117" customFormat="1" spans="6:13">
      <c r="F1048117" s="2"/>
      <c r="G1048117" s="2"/>
      <c r="H1048117" s="2"/>
      <c r="L1048117" s="2"/>
      <c r="M1048117" s="2"/>
    </row>
    <row r="1048118" customFormat="1" spans="6:13">
      <c r="F1048118" s="2"/>
      <c r="G1048118" s="2"/>
      <c r="H1048118" s="2"/>
      <c r="L1048118" s="2"/>
      <c r="M1048118" s="2"/>
    </row>
    <row r="1048119" customFormat="1" spans="6:13">
      <c r="F1048119" s="2"/>
      <c r="G1048119" s="2"/>
      <c r="H1048119" s="2"/>
      <c r="L1048119" s="2"/>
      <c r="M1048119" s="2"/>
    </row>
    <row r="1048120" customFormat="1" spans="6:13">
      <c r="F1048120" s="2"/>
      <c r="G1048120" s="2"/>
      <c r="H1048120" s="2"/>
      <c r="L1048120" s="2"/>
      <c r="M1048120" s="2"/>
    </row>
    <row r="1048121" customFormat="1" spans="6:13">
      <c r="F1048121" s="2"/>
      <c r="G1048121" s="2"/>
      <c r="H1048121" s="2"/>
      <c r="L1048121" s="2"/>
      <c r="M1048121" s="2"/>
    </row>
    <row r="1048122" customFormat="1" spans="6:13">
      <c r="F1048122" s="2"/>
      <c r="G1048122" s="2"/>
      <c r="H1048122" s="2"/>
      <c r="L1048122" s="2"/>
      <c r="M1048122" s="2"/>
    </row>
    <row r="1048123" customFormat="1" spans="6:13">
      <c r="F1048123" s="2"/>
      <c r="G1048123" s="2"/>
      <c r="H1048123" s="2"/>
      <c r="L1048123" s="2"/>
      <c r="M1048123" s="2"/>
    </row>
    <row r="1048124" customFormat="1" spans="6:13">
      <c r="F1048124" s="2"/>
      <c r="G1048124" s="2"/>
      <c r="H1048124" s="2"/>
      <c r="L1048124" s="2"/>
      <c r="M1048124" s="2"/>
    </row>
    <row r="1048125" customFormat="1" spans="6:13">
      <c r="F1048125" s="2"/>
      <c r="G1048125" s="2"/>
      <c r="H1048125" s="2"/>
      <c r="L1048125" s="2"/>
      <c r="M1048125" s="2"/>
    </row>
    <row r="1048126" customFormat="1" spans="6:13">
      <c r="F1048126" s="2"/>
      <c r="G1048126" s="2"/>
      <c r="H1048126" s="2"/>
      <c r="L1048126" s="2"/>
      <c r="M1048126" s="2"/>
    </row>
    <row r="1048127" customFormat="1" spans="6:13">
      <c r="F1048127" s="2"/>
      <c r="G1048127" s="2"/>
      <c r="H1048127" s="2"/>
      <c r="L1048127" s="2"/>
      <c r="M1048127" s="2"/>
    </row>
    <row r="1048128" customFormat="1" spans="6:13">
      <c r="F1048128" s="2"/>
      <c r="G1048128" s="2"/>
      <c r="H1048128" s="2"/>
      <c r="L1048128" s="2"/>
      <c r="M1048128" s="2"/>
    </row>
    <row r="1048129" customFormat="1" spans="6:13">
      <c r="F1048129" s="2"/>
      <c r="G1048129" s="2"/>
      <c r="H1048129" s="2"/>
      <c r="L1048129" s="2"/>
      <c r="M1048129" s="2"/>
    </row>
    <row r="1048130" customFormat="1" spans="6:13">
      <c r="F1048130" s="2"/>
      <c r="G1048130" s="2"/>
      <c r="H1048130" s="2"/>
      <c r="L1048130" s="2"/>
      <c r="M1048130" s="2"/>
    </row>
    <row r="1048131" customFormat="1" spans="6:13">
      <c r="F1048131" s="2"/>
      <c r="G1048131" s="2"/>
      <c r="H1048131" s="2"/>
      <c r="L1048131" s="2"/>
      <c r="M1048131" s="2"/>
    </row>
    <row r="1048132" customFormat="1" spans="6:13">
      <c r="F1048132" s="2"/>
      <c r="G1048132" s="2"/>
      <c r="H1048132" s="2"/>
      <c r="L1048132" s="2"/>
      <c r="M1048132" s="2"/>
    </row>
    <row r="1048133" customFormat="1" spans="6:13">
      <c r="F1048133" s="2"/>
      <c r="G1048133" s="2"/>
      <c r="H1048133" s="2"/>
      <c r="L1048133" s="2"/>
      <c r="M1048133" s="2"/>
    </row>
    <row r="1048134" customFormat="1" spans="6:13">
      <c r="F1048134" s="2"/>
      <c r="G1048134" s="2"/>
      <c r="H1048134" s="2"/>
      <c r="L1048134" s="2"/>
      <c r="M1048134" s="2"/>
    </row>
    <row r="1048135" customFormat="1" spans="6:13">
      <c r="F1048135" s="2"/>
      <c r="G1048135" s="2"/>
      <c r="H1048135" s="2"/>
      <c r="L1048135" s="2"/>
      <c r="M1048135" s="2"/>
    </row>
    <row r="1048136" customFormat="1" spans="6:13">
      <c r="F1048136" s="2"/>
      <c r="G1048136" s="2"/>
      <c r="H1048136" s="2"/>
      <c r="L1048136" s="2"/>
      <c r="M1048136" s="2"/>
    </row>
    <row r="1048137" customFormat="1" spans="6:13">
      <c r="F1048137" s="2"/>
      <c r="G1048137" s="2"/>
      <c r="H1048137" s="2"/>
      <c r="L1048137" s="2"/>
      <c r="M1048137" s="2"/>
    </row>
    <row r="1048138" customFormat="1" spans="6:13">
      <c r="F1048138" s="2"/>
      <c r="G1048138" s="2"/>
      <c r="H1048138" s="2"/>
      <c r="L1048138" s="2"/>
      <c r="M1048138" s="2"/>
    </row>
    <row r="1048139" customFormat="1" spans="6:13">
      <c r="F1048139" s="2"/>
      <c r="G1048139" s="2"/>
      <c r="H1048139" s="2"/>
      <c r="L1048139" s="2"/>
      <c r="M1048139" s="2"/>
    </row>
    <row r="1048140" customFormat="1" spans="6:13">
      <c r="F1048140" s="2"/>
      <c r="G1048140" s="2"/>
      <c r="H1048140" s="2"/>
      <c r="L1048140" s="2"/>
      <c r="M1048140" s="2"/>
    </row>
    <row r="1048141" customFormat="1" spans="6:13">
      <c r="F1048141" s="2"/>
      <c r="G1048141" s="2"/>
      <c r="H1048141" s="2"/>
      <c r="L1048141" s="2"/>
      <c r="M1048141" s="2"/>
    </row>
    <row r="1048142" customFormat="1" spans="6:13">
      <c r="F1048142" s="2"/>
      <c r="G1048142" s="2"/>
      <c r="H1048142" s="2"/>
      <c r="L1048142" s="2"/>
      <c r="M1048142" s="2"/>
    </row>
    <row r="1048143" customFormat="1" spans="6:13">
      <c r="F1048143" s="2"/>
      <c r="G1048143" s="2"/>
      <c r="H1048143" s="2"/>
      <c r="L1048143" s="2"/>
      <c r="M1048143" s="2"/>
    </row>
    <row r="1048144" customFormat="1" spans="6:13">
      <c r="F1048144" s="2"/>
      <c r="G1048144" s="2"/>
      <c r="H1048144" s="2"/>
      <c r="L1048144" s="2"/>
      <c r="M1048144" s="2"/>
    </row>
    <row r="1048145" customFormat="1" spans="6:13">
      <c r="F1048145" s="2"/>
      <c r="G1048145" s="2"/>
      <c r="H1048145" s="2"/>
      <c r="L1048145" s="2"/>
      <c r="M1048145" s="2"/>
    </row>
    <row r="1048146" customFormat="1" spans="6:13">
      <c r="F1048146" s="2"/>
      <c r="G1048146" s="2"/>
      <c r="H1048146" s="2"/>
      <c r="L1048146" s="2"/>
      <c r="M1048146" s="2"/>
    </row>
    <row r="1048147" customFormat="1" spans="6:13">
      <c r="F1048147" s="2"/>
      <c r="G1048147" s="2"/>
      <c r="H1048147" s="2"/>
      <c r="L1048147" s="2"/>
      <c r="M1048147" s="2"/>
    </row>
    <row r="1048148" customFormat="1" spans="6:13">
      <c r="F1048148" s="2"/>
      <c r="G1048148" s="2"/>
      <c r="H1048148" s="2"/>
      <c r="L1048148" s="2"/>
      <c r="M1048148" s="2"/>
    </row>
    <row r="1048149" customFormat="1" spans="6:13">
      <c r="F1048149" s="2"/>
      <c r="G1048149" s="2"/>
      <c r="H1048149" s="2"/>
      <c r="L1048149" s="2"/>
      <c r="M1048149" s="2"/>
    </row>
    <row r="1048150" customFormat="1" spans="6:13">
      <c r="F1048150" s="2"/>
      <c r="G1048150" s="2"/>
      <c r="H1048150" s="2"/>
      <c r="L1048150" s="2"/>
      <c r="M1048150" s="2"/>
    </row>
    <row r="1048151" customFormat="1" spans="6:13">
      <c r="F1048151" s="2"/>
      <c r="G1048151" s="2"/>
      <c r="H1048151" s="2"/>
      <c r="L1048151" s="2"/>
      <c r="M1048151" s="2"/>
    </row>
    <row r="1048152" customFormat="1" spans="6:13">
      <c r="F1048152" s="2"/>
      <c r="G1048152" s="2"/>
      <c r="H1048152" s="2"/>
      <c r="L1048152" s="2"/>
      <c r="M1048152" s="2"/>
    </row>
    <row r="1048153" customFormat="1" spans="6:13">
      <c r="F1048153" s="2"/>
      <c r="G1048153" s="2"/>
      <c r="H1048153" s="2"/>
      <c r="L1048153" s="2"/>
      <c r="M1048153" s="2"/>
    </row>
    <row r="1048154" customFormat="1" spans="6:13">
      <c r="F1048154" s="2"/>
      <c r="G1048154" s="2"/>
      <c r="H1048154" s="2"/>
      <c r="L1048154" s="2"/>
      <c r="M1048154" s="2"/>
    </row>
    <row r="1048155" customFormat="1" spans="6:13">
      <c r="F1048155" s="2"/>
      <c r="G1048155" s="2"/>
      <c r="H1048155" s="2"/>
      <c r="L1048155" s="2"/>
      <c r="M1048155" s="2"/>
    </row>
    <row r="1048156" customFormat="1" spans="6:13">
      <c r="F1048156" s="2"/>
      <c r="G1048156" s="2"/>
      <c r="H1048156" s="2"/>
      <c r="L1048156" s="2"/>
      <c r="M1048156" s="2"/>
    </row>
    <row r="1048157" customFormat="1" spans="6:13">
      <c r="F1048157" s="2"/>
      <c r="G1048157" s="2"/>
      <c r="H1048157" s="2"/>
      <c r="L1048157" s="2"/>
      <c r="M1048157" s="2"/>
    </row>
    <row r="1048158" customFormat="1" spans="6:13">
      <c r="F1048158" s="2"/>
      <c r="G1048158" s="2"/>
      <c r="H1048158" s="2"/>
      <c r="L1048158" s="2"/>
      <c r="M1048158" s="2"/>
    </row>
    <row r="1048159" customFormat="1" spans="6:13">
      <c r="F1048159" s="2"/>
      <c r="G1048159" s="2"/>
      <c r="H1048159" s="2"/>
      <c r="L1048159" s="2"/>
      <c r="M1048159" s="2"/>
    </row>
    <row r="1048160" customFormat="1" spans="6:13">
      <c r="F1048160" s="2"/>
      <c r="G1048160" s="2"/>
      <c r="H1048160" s="2"/>
      <c r="L1048160" s="2"/>
      <c r="M1048160" s="2"/>
    </row>
    <row r="1048161" customFormat="1" spans="6:13">
      <c r="F1048161" s="2"/>
      <c r="G1048161" s="2"/>
      <c r="H1048161" s="2"/>
      <c r="L1048161" s="2"/>
      <c r="M1048161" s="2"/>
    </row>
    <row r="1048162" customFormat="1" spans="6:13">
      <c r="F1048162" s="2"/>
      <c r="G1048162" s="2"/>
      <c r="H1048162" s="2"/>
      <c r="L1048162" s="2"/>
      <c r="M1048162" s="2"/>
    </row>
    <row r="1048163" customFormat="1" spans="6:13">
      <c r="F1048163" s="2"/>
      <c r="G1048163" s="2"/>
      <c r="H1048163" s="2"/>
      <c r="L1048163" s="2"/>
      <c r="M1048163" s="2"/>
    </row>
    <row r="1048164" customFormat="1" spans="6:13">
      <c r="F1048164" s="2"/>
      <c r="G1048164" s="2"/>
      <c r="H1048164" s="2"/>
      <c r="L1048164" s="2"/>
      <c r="M1048164" s="2"/>
    </row>
    <row r="1048165" customFormat="1" spans="6:13">
      <c r="F1048165" s="2"/>
      <c r="G1048165" s="2"/>
      <c r="H1048165" s="2"/>
      <c r="L1048165" s="2"/>
      <c r="M1048165" s="2"/>
    </row>
    <row r="1048166" customFormat="1" spans="6:13">
      <c r="F1048166" s="2"/>
      <c r="G1048166" s="2"/>
      <c r="H1048166" s="2"/>
      <c r="L1048166" s="2"/>
      <c r="M1048166" s="2"/>
    </row>
    <row r="1048167" customFormat="1" spans="6:13">
      <c r="F1048167" s="2"/>
      <c r="G1048167" s="2"/>
      <c r="H1048167" s="2"/>
      <c r="L1048167" s="2"/>
      <c r="M1048167" s="2"/>
    </row>
    <row r="1048168" customFormat="1" spans="6:13">
      <c r="F1048168" s="2"/>
      <c r="G1048168" s="2"/>
      <c r="H1048168" s="2"/>
      <c r="L1048168" s="2"/>
      <c r="M1048168" s="2"/>
    </row>
    <row r="1048169" customFormat="1" spans="6:13">
      <c r="F1048169" s="2"/>
      <c r="G1048169" s="2"/>
      <c r="H1048169" s="2"/>
      <c r="L1048169" s="2"/>
      <c r="M1048169" s="2"/>
    </row>
    <row r="1048170" customFormat="1" spans="6:13">
      <c r="F1048170" s="2"/>
      <c r="G1048170" s="2"/>
      <c r="H1048170" s="2"/>
      <c r="L1048170" s="2"/>
      <c r="M1048170" s="2"/>
    </row>
    <row r="1048171" customFormat="1" spans="6:13">
      <c r="F1048171" s="2"/>
      <c r="G1048171" s="2"/>
      <c r="H1048171" s="2"/>
      <c r="L1048171" s="2"/>
      <c r="M1048171" s="2"/>
    </row>
    <row r="1048172" customFormat="1" spans="6:13">
      <c r="F1048172" s="2"/>
      <c r="G1048172" s="2"/>
      <c r="H1048172" s="2"/>
      <c r="L1048172" s="2"/>
      <c r="M1048172" s="2"/>
    </row>
    <row r="1048173" customFormat="1" spans="6:13">
      <c r="F1048173" s="2"/>
      <c r="G1048173" s="2"/>
      <c r="H1048173" s="2"/>
      <c r="L1048173" s="2"/>
      <c r="M1048173" s="2"/>
    </row>
    <row r="1048174" customFormat="1" spans="6:13">
      <c r="F1048174" s="2"/>
      <c r="G1048174" s="2"/>
      <c r="H1048174" s="2"/>
      <c r="L1048174" s="2"/>
      <c r="M1048174" s="2"/>
    </row>
    <row r="1048175" customFormat="1" spans="6:13">
      <c r="F1048175" s="2"/>
      <c r="G1048175" s="2"/>
      <c r="H1048175" s="2"/>
      <c r="L1048175" s="2"/>
      <c r="M1048175" s="2"/>
    </row>
    <row r="1048176" customFormat="1" spans="6:13">
      <c r="F1048176" s="2"/>
      <c r="G1048176" s="2"/>
      <c r="H1048176" s="2"/>
      <c r="L1048176" s="2"/>
      <c r="M1048176" s="2"/>
    </row>
    <row r="1048177" customFormat="1" spans="6:13">
      <c r="F1048177" s="2"/>
      <c r="G1048177" s="2"/>
      <c r="H1048177" s="2"/>
      <c r="L1048177" s="2"/>
      <c r="M1048177" s="2"/>
    </row>
    <row r="1048178" customFormat="1" spans="6:13">
      <c r="F1048178" s="2"/>
      <c r="G1048178" s="2"/>
      <c r="H1048178" s="2"/>
      <c r="L1048178" s="2"/>
      <c r="M1048178" s="2"/>
    </row>
    <row r="1048179" customFormat="1" spans="6:13">
      <c r="F1048179" s="2"/>
      <c r="G1048179" s="2"/>
      <c r="H1048179" s="2"/>
      <c r="L1048179" s="2"/>
      <c r="M1048179" s="2"/>
    </row>
    <row r="1048180" customFormat="1" spans="6:13">
      <c r="F1048180" s="2"/>
      <c r="G1048180" s="2"/>
      <c r="H1048180" s="2"/>
      <c r="L1048180" s="2"/>
      <c r="M1048180" s="2"/>
    </row>
    <row r="1048181" customFormat="1" spans="6:13">
      <c r="F1048181" s="2"/>
      <c r="G1048181" s="2"/>
      <c r="H1048181" s="2"/>
      <c r="L1048181" s="2"/>
      <c r="M1048181" s="2"/>
    </row>
    <row r="1048182" customFormat="1" spans="6:13">
      <c r="F1048182" s="2"/>
      <c r="G1048182" s="2"/>
      <c r="H1048182" s="2"/>
      <c r="L1048182" s="2"/>
      <c r="M1048182" s="2"/>
    </row>
    <row r="1048183" customFormat="1" spans="6:13">
      <c r="F1048183" s="2"/>
      <c r="G1048183" s="2"/>
      <c r="H1048183" s="2"/>
      <c r="L1048183" s="2"/>
      <c r="M1048183" s="2"/>
    </row>
    <row r="1048184" customFormat="1" spans="6:13">
      <c r="F1048184" s="2"/>
      <c r="G1048184" s="2"/>
      <c r="H1048184" s="2"/>
      <c r="L1048184" s="2"/>
      <c r="M1048184" s="2"/>
    </row>
    <row r="1048185" customFormat="1" spans="6:13">
      <c r="F1048185" s="2"/>
      <c r="G1048185" s="2"/>
      <c r="H1048185" s="2"/>
      <c r="L1048185" s="2"/>
      <c r="M1048185" s="2"/>
    </row>
    <row r="1048186" customFormat="1" spans="6:13">
      <c r="F1048186" s="2"/>
      <c r="G1048186" s="2"/>
      <c r="H1048186" s="2"/>
      <c r="L1048186" s="2"/>
      <c r="M1048186" s="2"/>
    </row>
    <row r="1048187" customFormat="1" spans="6:13">
      <c r="F1048187" s="2"/>
      <c r="G1048187" s="2"/>
      <c r="H1048187" s="2"/>
      <c r="L1048187" s="2"/>
      <c r="M1048187" s="2"/>
    </row>
    <row r="1048188" customFormat="1" spans="6:13">
      <c r="F1048188" s="2"/>
      <c r="G1048188" s="2"/>
      <c r="H1048188" s="2"/>
      <c r="L1048188" s="2"/>
      <c r="M1048188" s="2"/>
    </row>
    <row r="1048189" customFormat="1" spans="6:13">
      <c r="F1048189" s="2"/>
      <c r="G1048189" s="2"/>
      <c r="H1048189" s="2"/>
      <c r="L1048189" s="2"/>
      <c r="M1048189" s="2"/>
    </row>
    <row r="1048190" customFormat="1" spans="6:13">
      <c r="F1048190" s="2"/>
      <c r="G1048190" s="2"/>
      <c r="H1048190" s="2"/>
      <c r="L1048190" s="2"/>
      <c r="M1048190" s="2"/>
    </row>
    <row r="1048191" customFormat="1" spans="6:13">
      <c r="F1048191" s="2"/>
      <c r="G1048191" s="2"/>
      <c r="H1048191" s="2"/>
      <c r="L1048191" s="2"/>
      <c r="M1048191" s="2"/>
    </row>
    <row r="1048192" customFormat="1" spans="6:13">
      <c r="F1048192" s="2"/>
      <c r="G1048192" s="2"/>
      <c r="H1048192" s="2"/>
      <c r="L1048192" s="2"/>
      <c r="M1048192" s="2"/>
    </row>
    <row r="1048193" customFormat="1" spans="6:13">
      <c r="F1048193" s="2"/>
      <c r="G1048193" s="2"/>
      <c r="H1048193" s="2"/>
      <c r="L1048193" s="2"/>
      <c r="M1048193" s="2"/>
    </row>
    <row r="1048194" customFormat="1" spans="6:13">
      <c r="F1048194" s="2"/>
      <c r="G1048194" s="2"/>
      <c r="H1048194" s="2"/>
      <c r="L1048194" s="2"/>
      <c r="M1048194" s="2"/>
    </row>
    <row r="1048195" customFormat="1" spans="6:13">
      <c r="F1048195" s="2"/>
      <c r="G1048195" s="2"/>
      <c r="H1048195" s="2"/>
      <c r="L1048195" s="2"/>
      <c r="M1048195" s="2"/>
    </row>
    <row r="1048196" customFormat="1" spans="6:13">
      <c r="F1048196" s="2"/>
      <c r="G1048196" s="2"/>
      <c r="H1048196" s="2"/>
      <c r="L1048196" s="2"/>
      <c r="M1048196" s="2"/>
    </row>
    <row r="1048197" customFormat="1" spans="6:13">
      <c r="F1048197" s="2"/>
      <c r="G1048197" s="2"/>
      <c r="H1048197" s="2"/>
      <c r="L1048197" s="2"/>
      <c r="M1048197" s="2"/>
    </row>
    <row r="1048198" customFormat="1" spans="6:13">
      <c r="F1048198" s="2"/>
      <c r="G1048198" s="2"/>
      <c r="H1048198" s="2"/>
      <c r="L1048198" s="2"/>
      <c r="M1048198" s="2"/>
    </row>
    <row r="1048199" customFormat="1" spans="6:13">
      <c r="F1048199" s="2"/>
      <c r="G1048199" s="2"/>
      <c r="H1048199" s="2"/>
      <c r="L1048199" s="2"/>
      <c r="M1048199" s="2"/>
    </row>
    <row r="1048200" customFormat="1" spans="6:13">
      <c r="F1048200" s="2"/>
      <c r="G1048200" s="2"/>
      <c r="H1048200" s="2"/>
      <c r="L1048200" s="2"/>
      <c r="M1048200" s="2"/>
    </row>
    <row r="1048201" customFormat="1" spans="6:13">
      <c r="F1048201" s="2"/>
      <c r="G1048201" s="2"/>
      <c r="H1048201" s="2"/>
      <c r="L1048201" s="2"/>
      <c r="M1048201" s="2"/>
    </row>
    <row r="1048202" customFormat="1" spans="6:13">
      <c r="F1048202" s="2"/>
      <c r="G1048202" s="2"/>
      <c r="H1048202" s="2"/>
      <c r="L1048202" s="2"/>
      <c r="M1048202" s="2"/>
    </row>
    <row r="1048203" customFormat="1" spans="6:13">
      <c r="F1048203" s="2"/>
      <c r="G1048203" s="2"/>
      <c r="H1048203" s="2"/>
      <c r="L1048203" s="2"/>
      <c r="M1048203" s="2"/>
    </row>
    <row r="1048204" customFormat="1" spans="6:13">
      <c r="F1048204" s="2"/>
      <c r="G1048204" s="2"/>
      <c r="H1048204" s="2"/>
      <c r="L1048204" s="2"/>
      <c r="M1048204" s="2"/>
    </row>
    <row r="1048205" customFormat="1" spans="6:13">
      <c r="F1048205" s="2"/>
      <c r="G1048205" s="2"/>
      <c r="H1048205" s="2"/>
      <c r="L1048205" s="2"/>
      <c r="M1048205" s="2"/>
    </row>
    <row r="1048206" customFormat="1" spans="6:13">
      <c r="F1048206" s="2"/>
      <c r="G1048206" s="2"/>
      <c r="H1048206" s="2"/>
      <c r="L1048206" s="2"/>
      <c r="M1048206" s="2"/>
    </row>
    <row r="1048207" customFormat="1" spans="6:13">
      <c r="F1048207" s="2"/>
      <c r="G1048207" s="2"/>
      <c r="H1048207" s="2"/>
      <c r="L1048207" s="2"/>
      <c r="M1048207" s="2"/>
    </row>
    <row r="1048208" customFormat="1" spans="6:13">
      <c r="F1048208" s="2"/>
      <c r="G1048208" s="2"/>
      <c r="H1048208" s="2"/>
      <c r="L1048208" s="2"/>
      <c r="M1048208" s="2"/>
    </row>
    <row r="1048209" customFormat="1" spans="6:13">
      <c r="F1048209" s="2"/>
      <c r="G1048209" s="2"/>
      <c r="H1048209" s="2"/>
      <c r="L1048209" s="2"/>
      <c r="M1048209" s="2"/>
    </row>
    <row r="1048210" customFormat="1" spans="6:13">
      <c r="F1048210" s="2"/>
      <c r="G1048210" s="2"/>
      <c r="H1048210" s="2"/>
      <c r="L1048210" s="2"/>
      <c r="M1048210" s="2"/>
    </row>
    <row r="1048211" customFormat="1" spans="6:13">
      <c r="F1048211" s="2"/>
      <c r="G1048211" s="2"/>
      <c r="H1048211" s="2"/>
      <c r="L1048211" s="2"/>
      <c r="M1048211" s="2"/>
    </row>
    <row r="1048212" customFormat="1" spans="6:13">
      <c r="F1048212" s="2"/>
      <c r="G1048212" s="2"/>
      <c r="H1048212" s="2"/>
      <c r="L1048212" s="2"/>
      <c r="M1048212" s="2"/>
    </row>
    <row r="1048213" customFormat="1" spans="6:13">
      <c r="F1048213" s="2"/>
      <c r="G1048213" s="2"/>
      <c r="H1048213" s="2"/>
      <c r="L1048213" s="2"/>
      <c r="M1048213" s="2"/>
    </row>
    <row r="1048214" customFormat="1" spans="6:13">
      <c r="F1048214" s="2"/>
      <c r="G1048214" s="2"/>
      <c r="H1048214" s="2"/>
      <c r="L1048214" s="2"/>
      <c r="M1048214" s="2"/>
    </row>
    <row r="1048215" customFormat="1" spans="6:13">
      <c r="F1048215" s="2"/>
      <c r="G1048215" s="2"/>
      <c r="H1048215" s="2"/>
      <c r="L1048215" s="2"/>
      <c r="M1048215" s="2"/>
    </row>
    <row r="1048216" customFormat="1" spans="6:13">
      <c r="F1048216" s="2"/>
      <c r="G1048216" s="2"/>
      <c r="H1048216" s="2"/>
      <c r="L1048216" s="2"/>
      <c r="M1048216" s="2"/>
    </row>
    <row r="1048217" customFormat="1" spans="6:13">
      <c r="F1048217" s="2"/>
      <c r="G1048217" s="2"/>
      <c r="H1048217" s="2"/>
      <c r="L1048217" s="2"/>
      <c r="M1048217" s="2"/>
    </row>
    <row r="1048218" customFormat="1" spans="6:13">
      <c r="F1048218" s="2"/>
      <c r="G1048218" s="2"/>
      <c r="H1048218" s="2"/>
      <c r="L1048218" s="2"/>
      <c r="M1048218" s="2"/>
    </row>
    <row r="1048219" customFormat="1" spans="6:13">
      <c r="F1048219" s="2"/>
      <c r="G1048219" s="2"/>
      <c r="H1048219" s="2"/>
      <c r="L1048219" s="2"/>
      <c r="M1048219" s="2"/>
    </row>
    <row r="1048220" customFormat="1" spans="6:13">
      <c r="F1048220" s="2"/>
      <c r="G1048220" s="2"/>
      <c r="H1048220" s="2"/>
      <c r="L1048220" s="2"/>
      <c r="M1048220" s="2"/>
    </row>
    <row r="1048221" customFormat="1" spans="6:13">
      <c r="F1048221" s="2"/>
      <c r="G1048221" s="2"/>
      <c r="H1048221" s="2"/>
      <c r="L1048221" s="2"/>
      <c r="M1048221" s="2"/>
    </row>
    <row r="1048222" customFormat="1" spans="6:13">
      <c r="F1048222" s="2"/>
      <c r="G1048222" s="2"/>
      <c r="H1048222" s="2"/>
      <c r="L1048222" s="2"/>
      <c r="M1048222" s="2"/>
    </row>
    <row r="1048223" customFormat="1" spans="6:13">
      <c r="F1048223" s="2"/>
      <c r="G1048223" s="2"/>
      <c r="H1048223" s="2"/>
      <c r="L1048223" s="2"/>
      <c r="M1048223" s="2"/>
    </row>
    <row r="1048224" customFormat="1" spans="6:13">
      <c r="F1048224" s="2"/>
      <c r="G1048224" s="2"/>
      <c r="H1048224" s="2"/>
      <c r="L1048224" s="2"/>
      <c r="M1048224" s="2"/>
    </row>
    <row r="1048225" customFormat="1" spans="6:13">
      <c r="F1048225" s="2"/>
      <c r="G1048225" s="2"/>
      <c r="H1048225" s="2"/>
      <c r="L1048225" s="2"/>
      <c r="M1048225" s="2"/>
    </row>
    <row r="1048226" customFormat="1" spans="6:13">
      <c r="F1048226" s="2"/>
      <c r="G1048226" s="2"/>
      <c r="H1048226" s="2"/>
      <c r="L1048226" s="2"/>
      <c r="M1048226" s="2"/>
    </row>
    <row r="1048227" customFormat="1" spans="6:13">
      <c r="F1048227" s="2"/>
      <c r="G1048227" s="2"/>
      <c r="H1048227" s="2"/>
      <c r="L1048227" s="2"/>
      <c r="M1048227" s="2"/>
    </row>
    <row r="1048228" customFormat="1" spans="6:13">
      <c r="F1048228" s="2"/>
      <c r="G1048228" s="2"/>
      <c r="H1048228" s="2"/>
      <c r="L1048228" s="2"/>
      <c r="M1048228" s="2"/>
    </row>
    <row r="1048229" customFormat="1" spans="6:13">
      <c r="F1048229" s="2"/>
      <c r="G1048229" s="2"/>
      <c r="H1048229" s="2"/>
      <c r="L1048229" s="2"/>
      <c r="M1048229" s="2"/>
    </row>
    <row r="1048230" customFormat="1" spans="6:13">
      <c r="F1048230" s="2"/>
      <c r="G1048230" s="2"/>
      <c r="H1048230" s="2"/>
      <c r="L1048230" s="2"/>
      <c r="M1048230" s="2"/>
    </row>
    <row r="1048231" customFormat="1" spans="6:13">
      <c r="F1048231" s="2"/>
      <c r="G1048231" s="2"/>
      <c r="H1048231" s="2"/>
      <c r="L1048231" s="2"/>
      <c r="M1048231" s="2"/>
    </row>
    <row r="1048232" customFormat="1" spans="6:13">
      <c r="F1048232" s="2"/>
      <c r="G1048232" s="2"/>
      <c r="H1048232" s="2"/>
      <c r="L1048232" s="2"/>
      <c r="M1048232" s="2"/>
    </row>
    <row r="1048233" customFormat="1" spans="6:13">
      <c r="F1048233" s="2"/>
      <c r="G1048233" s="2"/>
      <c r="H1048233" s="2"/>
      <c r="L1048233" s="2"/>
      <c r="M1048233" s="2"/>
    </row>
    <row r="1048234" customFormat="1" spans="6:13">
      <c r="F1048234" s="2"/>
      <c r="G1048234" s="2"/>
      <c r="H1048234" s="2"/>
      <c r="L1048234" s="2"/>
      <c r="M1048234" s="2"/>
    </row>
    <row r="1048235" customFormat="1" spans="6:13">
      <c r="F1048235" s="2"/>
      <c r="G1048235" s="2"/>
      <c r="H1048235" s="2"/>
      <c r="L1048235" s="2"/>
      <c r="M1048235" s="2"/>
    </row>
    <row r="1048236" customFormat="1" spans="6:13">
      <c r="F1048236" s="2"/>
      <c r="G1048236" s="2"/>
      <c r="H1048236" s="2"/>
      <c r="L1048236" s="2"/>
      <c r="M1048236" s="2"/>
    </row>
    <row r="1048237" customFormat="1" spans="6:13">
      <c r="F1048237" s="2"/>
      <c r="G1048237" s="2"/>
      <c r="H1048237" s="2"/>
      <c r="L1048237" s="2"/>
      <c r="M1048237" s="2"/>
    </row>
    <row r="1048238" customFormat="1" spans="6:13">
      <c r="F1048238" s="2"/>
      <c r="G1048238" s="2"/>
      <c r="H1048238" s="2"/>
      <c r="L1048238" s="2"/>
      <c r="M1048238" s="2"/>
    </row>
    <row r="1048239" customFormat="1" spans="6:13">
      <c r="F1048239" s="2"/>
      <c r="G1048239" s="2"/>
      <c r="H1048239" s="2"/>
      <c r="L1048239" s="2"/>
      <c r="M1048239" s="2"/>
    </row>
    <row r="1048240" customFormat="1" spans="6:13">
      <c r="F1048240" s="2"/>
      <c r="G1048240" s="2"/>
      <c r="H1048240" s="2"/>
      <c r="L1048240" s="2"/>
      <c r="M1048240" s="2"/>
    </row>
    <row r="1048241" customFormat="1" spans="6:13">
      <c r="F1048241" s="2"/>
      <c r="G1048241" s="2"/>
      <c r="H1048241" s="2"/>
      <c r="L1048241" s="2"/>
      <c r="M1048241" s="2"/>
    </row>
    <row r="1048242" customFormat="1" spans="6:13">
      <c r="F1048242" s="2"/>
      <c r="G1048242" s="2"/>
      <c r="H1048242" s="2"/>
      <c r="L1048242" s="2"/>
      <c r="M1048242" s="2"/>
    </row>
    <row r="1048243" customFormat="1" spans="6:13">
      <c r="F1048243" s="2"/>
      <c r="G1048243" s="2"/>
      <c r="H1048243" s="2"/>
      <c r="L1048243" s="2"/>
      <c r="M1048243" s="2"/>
    </row>
    <row r="1048244" customFormat="1" spans="6:13">
      <c r="F1048244" s="2"/>
      <c r="G1048244" s="2"/>
      <c r="H1048244" s="2"/>
      <c r="L1048244" s="2"/>
      <c r="M1048244" s="2"/>
    </row>
    <row r="1048245" customFormat="1" spans="6:13">
      <c r="F1048245" s="2"/>
      <c r="G1048245" s="2"/>
      <c r="H1048245" s="2"/>
      <c r="L1048245" s="2"/>
      <c r="M1048245" s="2"/>
    </row>
    <row r="1048246" customFormat="1" spans="6:13">
      <c r="F1048246" s="2"/>
      <c r="G1048246" s="2"/>
      <c r="H1048246" s="2"/>
      <c r="L1048246" s="2"/>
      <c r="M1048246" s="2"/>
    </row>
    <row r="1048247" customFormat="1" spans="6:13">
      <c r="F1048247" s="2"/>
      <c r="G1048247" s="2"/>
      <c r="H1048247" s="2"/>
      <c r="L1048247" s="2"/>
      <c r="M1048247" s="2"/>
    </row>
    <row r="1048248" customFormat="1" spans="6:13">
      <c r="F1048248" s="2"/>
      <c r="G1048248" s="2"/>
      <c r="H1048248" s="2"/>
      <c r="L1048248" s="2"/>
      <c r="M1048248" s="2"/>
    </row>
    <row r="1048249" customFormat="1" spans="6:13">
      <c r="F1048249" s="2"/>
      <c r="G1048249" s="2"/>
      <c r="H1048249" s="2"/>
      <c r="L1048249" s="2"/>
      <c r="M1048249" s="2"/>
    </row>
    <row r="1048250" customFormat="1" spans="6:13">
      <c r="F1048250" s="2"/>
      <c r="G1048250" s="2"/>
      <c r="H1048250" s="2"/>
      <c r="L1048250" s="2"/>
      <c r="M1048250" s="2"/>
    </row>
    <row r="1048251" customFormat="1" spans="6:13">
      <c r="F1048251" s="2"/>
      <c r="G1048251" s="2"/>
      <c r="H1048251" s="2"/>
      <c r="L1048251" s="2"/>
      <c r="M1048251" s="2"/>
    </row>
    <row r="1048252" customFormat="1" spans="6:13">
      <c r="F1048252" s="2"/>
      <c r="G1048252" s="2"/>
      <c r="H1048252" s="2"/>
      <c r="L1048252" s="2"/>
      <c r="M1048252" s="2"/>
    </row>
    <row r="1048253" customFormat="1" spans="6:13">
      <c r="F1048253" s="2"/>
      <c r="G1048253" s="2"/>
      <c r="H1048253" s="2"/>
      <c r="L1048253" s="2"/>
      <c r="M1048253" s="2"/>
    </row>
    <row r="1048254" customFormat="1" spans="6:13">
      <c r="F1048254" s="2"/>
      <c r="G1048254" s="2"/>
      <c r="H1048254" s="2"/>
      <c r="L1048254" s="2"/>
      <c r="M1048254" s="2"/>
    </row>
    <row r="1048255" customFormat="1" spans="6:13">
      <c r="F1048255" s="2"/>
      <c r="G1048255" s="2"/>
      <c r="H1048255" s="2"/>
      <c r="L1048255" s="2"/>
      <c r="M1048255" s="2"/>
    </row>
    <row r="1048256" customFormat="1" spans="6:13">
      <c r="F1048256" s="2"/>
      <c r="G1048256" s="2"/>
      <c r="H1048256" s="2"/>
      <c r="L1048256" s="2"/>
      <c r="M1048256" s="2"/>
    </row>
    <row r="1048257" customFormat="1" spans="6:13">
      <c r="F1048257" s="2"/>
      <c r="G1048257" s="2"/>
      <c r="H1048257" s="2"/>
      <c r="L1048257" s="2"/>
      <c r="M1048257" s="2"/>
    </row>
    <row r="1048258" customFormat="1" spans="6:13">
      <c r="F1048258" s="2"/>
      <c r="G1048258" s="2"/>
      <c r="H1048258" s="2"/>
      <c r="L1048258" s="2"/>
      <c r="M1048258" s="2"/>
    </row>
    <row r="1048259" customFormat="1" spans="6:13">
      <c r="F1048259" s="2"/>
      <c r="G1048259" s="2"/>
      <c r="H1048259" s="2"/>
      <c r="L1048259" s="2"/>
      <c r="M1048259" s="2"/>
    </row>
    <row r="1048260" customFormat="1" spans="6:13">
      <c r="F1048260" s="2"/>
      <c r="G1048260" s="2"/>
      <c r="H1048260" s="2"/>
      <c r="L1048260" s="2"/>
      <c r="M1048260" s="2"/>
    </row>
    <row r="1048261" customFormat="1" spans="6:13">
      <c r="F1048261" s="2"/>
      <c r="G1048261" s="2"/>
      <c r="H1048261" s="2"/>
      <c r="L1048261" s="2"/>
      <c r="M1048261" s="2"/>
    </row>
    <row r="1048262" customFormat="1" spans="6:13">
      <c r="F1048262" s="2"/>
      <c r="G1048262" s="2"/>
      <c r="H1048262" s="2"/>
      <c r="L1048262" s="2"/>
      <c r="M1048262" s="2"/>
    </row>
    <row r="1048263" customFormat="1" spans="6:13">
      <c r="F1048263" s="2"/>
      <c r="G1048263" s="2"/>
      <c r="H1048263" s="2"/>
      <c r="L1048263" s="2"/>
      <c r="M1048263" s="2"/>
    </row>
    <row r="1048264" customFormat="1" spans="6:13">
      <c r="F1048264" s="2"/>
      <c r="G1048264" s="2"/>
      <c r="H1048264" s="2"/>
      <c r="L1048264" s="2"/>
      <c r="M1048264" s="2"/>
    </row>
    <row r="1048265" customFormat="1" spans="6:13">
      <c r="F1048265" s="2"/>
      <c r="G1048265" s="2"/>
      <c r="H1048265" s="2"/>
      <c r="L1048265" s="2"/>
      <c r="M1048265" s="2"/>
    </row>
    <row r="1048266" customFormat="1" spans="6:13">
      <c r="F1048266" s="2"/>
      <c r="G1048266" s="2"/>
      <c r="H1048266" s="2"/>
      <c r="L1048266" s="2"/>
      <c r="M1048266" s="2"/>
    </row>
    <row r="1048267" customFormat="1" spans="6:13">
      <c r="F1048267" s="2"/>
      <c r="G1048267" s="2"/>
      <c r="H1048267" s="2"/>
      <c r="L1048267" s="2"/>
      <c r="M1048267" s="2"/>
    </row>
    <row r="1048268" customFormat="1" spans="6:13">
      <c r="F1048268" s="2"/>
      <c r="G1048268" s="2"/>
      <c r="H1048268" s="2"/>
      <c r="L1048268" s="2"/>
      <c r="M1048268" s="2"/>
    </row>
    <row r="1048269" customFormat="1" spans="6:13">
      <c r="F1048269" s="2"/>
      <c r="G1048269" s="2"/>
      <c r="H1048269" s="2"/>
      <c r="L1048269" s="2"/>
      <c r="M1048269" s="2"/>
    </row>
    <row r="1048270" customFormat="1" spans="6:13">
      <c r="F1048270" s="2"/>
      <c r="G1048270" s="2"/>
      <c r="H1048270" s="2"/>
      <c r="L1048270" s="2"/>
      <c r="M1048270" s="2"/>
    </row>
    <row r="1048271" customFormat="1" spans="6:13">
      <c r="F1048271" s="2"/>
      <c r="G1048271" s="2"/>
      <c r="H1048271" s="2"/>
      <c r="L1048271" s="2"/>
      <c r="M1048271" s="2"/>
    </row>
    <row r="1048272" customFormat="1" spans="6:13">
      <c r="F1048272" s="2"/>
      <c r="G1048272" s="2"/>
      <c r="H1048272" s="2"/>
      <c r="L1048272" s="2"/>
      <c r="M1048272" s="2"/>
    </row>
    <row r="1048273" customFormat="1" spans="6:13">
      <c r="F1048273" s="2"/>
      <c r="G1048273" s="2"/>
      <c r="H1048273" s="2"/>
      <c r="L1048273" s="2"/>
      <c r="M1048273" s="2"/>
    </row>
    <row r="1048274" customFormat="1" spans="6:13">
      <c r="F1048274" s="2"/>
      <c r="G1048274" s="2"/>
      <c r="H1048274" s="2"/>
      <c r="L1048274" s="2"/>
      <c r="M1048274" s="2"/>
    </row>
    <row r="1048275" customFormat="1" spans="6:13">
      <c r="F1048275" s="2"/>
      <c r="G1048275" s="2"/>
      <c r="H1048275" s="2"/>
      <c r="L1048275" s="2"/>
      <c r="M1048275" s="2"/>
    </row>
    <row r="1048276" customFormat="1" spans="6:13">
      <c r="F1048276" s="2"/>
      <c r="G1048276" s="2"/>
      <c r="H1048276" s="2"/>
      <c r="L1048276" s="2"/>
      <c r="M1048276" s="2"/>
    </row>
    <row r="1048277" customFormat="1" spans="6:13">
      <c r="F1048277" s="2"/>
      <c r="G1048277" s="2"/>
      <c r="H1048277" s="2"/>
      <c r="L1048277" s="2"/>
      <c r="M1048277" s="2"/>
    </row>
    <row r="1048278" customFormat="1" spans="6:13">
      <c r="F1048278" s="2"/>
      <c r="G1048278" s="2"/>
      <c r="H1048278" s="2"/>
      <c r="L1048278" s="2"/>
      <c r="M1048278" s="2"/>
    </row>
    <row r="1048279" customFormat="1" spans="6:13">
      <c r="F1048279" s="2"/>
      <c r="G1048279" s="2"/>
      <c r="H1048279" s="2"/>
      <c r="L1048279" s="2"/>
      <c r="M1048279" s="2"/>
    </row>
    <row r="1048280" customFormat="1" spans="6:13">
      <c r="F1048280" s="2"/>
      <c r="G1048280" s="2"/>
      <c r="H1048280" s="2"/>
      <c r="L1048280" s="2"/>
      <c r="M1048280" s="2"/>
    </row>
    <row r="1048281" customFormat="1" spans="6:13">
      <c r="F1048281" s="2"/>
      <c r="G1048281" s="2"/>
      <c r="H1048281" s="2"/>
      <c r="L1048281" s="2"/>
      <c r="M1048281" s="2"/>
    </row>
    <row r="1048282" customFormat="1" spans="6:13">
      <c r="F1048282" s="2"/>
      <c r="G1048282" s="2"/>
      <c r="H1048282" s="2"/>
      <c r="L1048282" s="2"/>
      <c r="M1048282" s="2"/>
    </row>
    <row r="1048283" customFormat="1" spans="6:13">
      <c r="F1048283" s="2"/>
      <c r="G1048283" s="2"/>
      <c r="H1048283" s="2"/>
      <c r="L1048283" s="2"/>
      <c r="M1048283" s="2"/>
    </row>
    <row r="1048284" customFormat="1" spans="6:13">
      <c r="F1048284" s="2"/>
      <c r="G1048284" s="2"/>
      <c r="H1048284" s="2"/>
      <c r="L1048284" s="2"/>
      <c r="M1048284" s="2"/>
    </row>
    <row r="1048285" customFormat="1" spans="6:13">
      <c r="F1048285" s="2"/>
      <c r="G1048285" s="2"/>
      <c r="H1048285" s="2"/>
      <c r="L1048285" s="2"/>
      <c r="M1048285" s="2"/>
    </row>
    <row r="1048286" customFormat="1" spans="6:13">
      <c r="F1048286" s="2"/>
      <c r="G1048286" s="2"/>
      <c r="H1048286" s="2"/>
      <c r="L1048286" s="2"/>
      <c r="M1048286" s="2"/>
    </row>
    <row r="1048287" customFormat="1" spans="6:13">
      <c r="F1048287" s="2"/>
      <c r="G1048287" s="2"/>
      <c r="H1048287" s="2"/>
      <c r="L1048287" s="2"/>
      <c r="M1048287" s="2"/>
    </row>
    <row r="1048288" customFormat="1" spans="6:13">
      <c r="F1048288" s="2"/>
      <c r="G1048288" s="2"/>
      <c r="H1048288" s="2"/>
      <c r="L1048288" s="2"/>
      <c r="M1048288" s="2"/>
    </row>
    <row r="1048289" customFormat="1" spans="6:13">
      <c r="F1048289" s="2"/>
      <c r="G1048289" s="2"/>
      <c r="H1048289" s="2"/>
      <c r="L1048289" s="2"/>
      <c r="M1048289" s="2"/>
    </row>
    <row r="1048290" customFormat="1" spans="6:13">
      <c r="F1048290" s="2"/>
      <c r="G1048290" s="2"/>
      <c r="H1048290" s="2"/>
      <c r="L1048290" s="2"/>
      <c r="M1048290" s="2"/>
    </row>
    <row r="1048291" customFormat="1" spans="6:13">
      <c r="F1048291" s="2"/>
      <c r="G1048291" s="2"/>
      <c r="H1048291" s="2"/>
      <c r="L1048291" s="2"/>
      <c r="M1048291" s="2"/>
    </row>
    <row r="1048292" customFormat="1" spans="6:13">
      <c r="F1048292" s="2"/>
      <c r="G1048292" s="2"/>
      <c r="H1048292" s="2"/>
      <c r="L1048292" s="2"/>
      <c r="M1048292" s="2"/>
    </row>
    <row r="1048293" customFormat="1" spans="6:13">
      <c r="F1048293" s="2"/>
      <c r="G1048293" s="2"/>
      <c r="H1048293" s="2"/>
      <c r="L1048293" s="2"/>
      <c r="M1048293" s="2"/>
    </row>
    <row r="1048294" customFormat="1" spans="6:13">
      <c r="F1048294" s="2"/>
      <c r="G1048294" s="2"/>
      <c r="H1048294" s="2"/>
      <c r="L1048294" s="2"/>
      <c r="M1048294" s="2"/>
    </row>
    <row r="1048295" customFormat="1" spans="6:13">
      <c r="F1048295" s="2"/>
      <c r="G1048295" s="2"/>
      <c r="H1048295" s="2"/>
      <c r="L1048295" s="2"/>
      <c r="M1048295" s="2"/>
    </row>
    <row r="1048296" customFormat="1" spans="6:13">
      <c r="F1048296" s="2"/>
      <c r="G1048296" s="2"/>
      <c r="H1048296" s="2"/>
      <c r="L1048296" s="2"/>
      <c r="M1048296" s="2"/>
    </row>
    <row r="1048297" customFormat="1" spans="6:13">
      <c r="F1048297" s="2"/>
      <c r="G1048297" s="2"/>
      <c r="H1048297" s="2"/>
      <c r="L1048297" s="2"/>
      <c r="M1048297" s="2"/>
    </row>
    <row r="1048298" customFormat="1" spans="6:13">
      <c r="F1048298" s="2"/>
      <c r="G1048298" s="2"/>
      <c r="H1048298" s="2"/>
      <c r="L1048298" s="2"/>
      <c r="M1048298" s="2"/>
    </row>
    <row r="1048299" customFormat="1" spans="6:13">
      <c r="F1048299" s="2"/>
      <c r="G1048299" s="2"/>
      <c r="H1048299" s="2"/>
      <c r="L1048299" s="2"/>
      <c r="M1048299" s="2"/>
    </row>
    <row r="1048300" customFormat="1" spans="6:13">
      <c r="F1048300" s="2"/>
      <c r="G1048300" s="2"/>
      <c r="H1048300" s="2"/>
      <c r="L1048300" s="2"/>
      <c r="M1048300" s="2"/>
    </row>
    <row r="1048301" customFormat="1" spans="6:13">
      <c r="F1048301" s="2"/>
      <c r="G1048301" s="2"/>
      <c r="H1048301" s="2"/>
      <c r="L1048301" s="2"/>
      <c r="M1048301" s="2"/>
    </row>
    <row r="1048302" customFormat="1" spans="6:13">
      <c r="F1048302" s="2"/>
      <c r="G1048302" s="2"/>
      <c r="H1048302" s="2"/>
      <c r="L1048302" s="2"/>
      <c r="M1048302" s="2"/>
    </row>
    <row r="1048303" customFormat="1" spans="6:13">
      <c r="F1048303" s="2"/>
      <c r="G1048303" s="2"/>
      <c r="H1048303" s="2"/>
      <c r="L1048303" s="2"/>
      <c r="M1048303" s="2"/>
    </row>
    <row r="1048304" customFormat="1" spans="6:13">
      <c r="F1048304" s="2"/>
      <c r="G1048304" s="2"/>
      <c r="H1048304" s="2"/>
      <c r="L1048304" s="2"/>
      <c r="M1048304" s="2"/>
    </row>
    <row r="1048305" customFormat="1" spans="6:13">
      <c r="F1048305" s="2"/>
      <c r="G1048305" s="2"/>
      <c r="H1048305" s="2"/>
      <c r="L1048305" s="2"/>
      <c r="M1048305" s="2"/>
    </row>
    <row r="1048306" customFormat="1" spans="6:13">
      <c r="F1048306" s="2"/>
      <c r="G1048306" s="2"/>
      <c r="H1048306" s="2"/>
      <c r="L1048306" s="2"/>
      <c r="M1048306" s="2"/>
    </row>
    <row r="1048307" customFormat="1" spans="6:13">
      <c r="F1048307" s="2"/>
      <c r="G1048307" s="2"/>
      <c r="H1048307" s="2"/>
      <c r="L1048307" s="2"/>
      <c r="M1048307" s="2"/>
    </row>
    <row r="1048308" customFormat="1" spans="6:13">
      <c r="F1048308" s="2"/>
      <c r="G1048308" s="2"/>
      <c r="H1048308" s="2"/>
      <c r="L1048308" s="2"/>
      <c r="M1048308" s="2"/>
    </row>
    <row r="1048309" customFormat="1" spans="6:13">
      <c r="F1048309" s="2"/>
      <c r="G1048309" s="2"/>
      <c r="H1048309" s="2"/>
      <c r="L1048309" s="2"/>
      <c r="M1048309" s="2"/>
    </row>
    <row r="1048310" customFormat="1" spans="6:13">
      <c r="F1048310" s="2"/>
      <c r="G1048310" s="2"/>
      <c r="H1048310" s="2"/>
      <c r="L1048310" s="2"/>
      <c r="M1048310" s="2"/>
    </row>
    <row r="1048311" customFormat="1" spans="6:13">
      <c r="F1048311" s="2"/>
      <c r="G1048311" s="2"/>
      <c r="H1048311" s="2"/>
      <c r="L1048311" s="2"/>
      <c r="M1048311" s="2"/>
    </row>
    <row r="1048312" customFormat="1" spans="6:13">
      <c r="F1048312" s="2"/>
      <c r="G1048312" s="2"/>
      <c r="H1048312" s="2"/>
      <c r="L1048312" s="2"/>
      <c r="M1048312" s="2"/>
    </row>
    <row r="1048313" customFormat="1" spans="6:13">
      <c r="F1048313" s="2"/>
      <c r="G1048313" s="2"/>
      <c r="H1048313" s="2"/>
      <c r="L1048313" s="2"/>
      <c r="M1048313" s="2"/>
    </row>
    <row r="1048314" customFormat="1" spans="6:13">
      <c r="F1048314" s="2"/>
      <c r="G1048314" s="2"/>
      <c r="H1048314" s="2"/>
      <c r="L1048314" s="2"/>
      <c r="M1048314" s="2"/>
    </row>
    <row r="1048315" customFormat="1" spans="6:13">
      <c r="F1048315" s="2"/>
      <c r="G1048315" s="2"/>
      <c r="H1048315" s="2"/>
      <c r="L1048315" s="2"/>
      <c r="M1048315" s="2"/>
    </row>
    <row r="1048316" customFormat="1" spans="6:13">
      <c r="F1048316" s="2"/>
      <c r="G1048316" s="2"/>
      <c r="H1048316" s="2"/>
      <c r="L1048316" s="2"/>
      <c r="M1048316" s="2"/>
    </row>
    <row r="1048317" customFormat="1" spans="6:13">
      <c r="F1048317" s="2"/>
      <c r="G1048317" s="2"/>
      <c r="H1048317" s="2"/>
      <c r="L1048317" s="2"/>
      <c r="M1048317" s="2"/>
    </row>
    <row r="1048318" customFormat="1" spans="6:13">
      <c r="F1048318" s="2"/>
      <c r="G1048318" s="2"/>
      <c r="H1048318" s="2"/>
      <c r="L1048318" s="2"/>
      <c r="M1048318" s="2"/>
    </row>
    <row r="1048319" customFormat="1" spans="6:13">
      <c r="F1048319" s="2"/>
      <c r="G1048319" s="2"/>
      <c r="H1048319" s="2"/>
      <c r="L1048319" s="2"/>
      <c r="M1048319" s="2"/>
    </row>
    <row r="1048320" customFormat="1" spans="6:13">
      <c r="F1048320" s="2"/>
      <c r="G1048320" s="2"/>
      <c r="H1048320" s="2"/>
      <c r="L1048320" s="2"/>
      <c r="M1048320" s="2"/>
    </row>
    <row r="1048321" customFormat="1" spans="6:13">
      <c r="F1048321" s="2"/>
      <c r="G1048321" s="2"/>
      <c r="H1048321" s="2"/>
      <c r="L1048321" s="2"/>
      <c r="M1048321" s="2"/>
    </row>
    <row r="1048322" customFormat="1" spans="6:13">
      <c r="F1048322" s="2"/>
      <c r="G1048322" s="2"/>
      <c r="H1048322" s="2"/>
      <c r="L1048322" s="2"/>
      <c r="M1048322" s="2"/>
    </row>
    <row r="1048323" customFormat="1" spans="6:13">
      <c r="F1048323" s="2"/>
      <c r="G1048323" s="2"/>
      <c r="H1048323" s="2"/>
      <c r="L1048323" s="2"/>
      <c r="M1048323" s="2"/>
    </row>
    <row r="1048324" customFormat="1" spans="6:13">
      <c r="F1048324" s="2"/>
      <c r="G1048324" s="2"/>
      <c r="H1048324" s="2"/>
      <c r="L1048324" s="2"/>
      <c r="M1048324" s="2"/>
    </row>
    <row r="1048325" customFormat="1" spans="6:13">
      <c r="F1048325" s="2"/>
      <c r="G1048325" s="2"/>
      <c r="H1048325" s="2"/>
      <c r="L1048325" s="2"/>
      <c r="M1048325" s="2"/>
    </row>
    <row r="1048326" customFormat="1" spans="6:13">
      <c r="F1048326" s="2"/>
      <c r="G1048326" s="2"/>
      <c r="H1048326" s="2"/>
      <c r="L1048326" s="2"/>
      <c r="M1048326" s="2"/>
    </row>
    <row r="1048327" customFormat="1" spans="6:13">
      <c r="F1048327" s="2"/>
      <c r="G1048327" s="2"/>
      <c r="H1048327" s="2"/>
      <c r="L1048327" s="2"/>
      <c r="M1048327" s="2"/>
    </row>
    <row r="1048328" customFormat="1" spans="6:13">
      <c r="F1048328" s="2"/>
      <c r="G1048328" s="2"/>
      <c r="H1048328" s="2"/>
      <c r="L1048328" s="2"/>
      <c r="M1048328" s="2"/>
    </row>
    <row r="1048329" customFormat="1" spans="6:13">
      <c r="F1048329" s="2"/>
      <c r="G1048329" s="2"/>
      <c r="H1048329" s="2"/>
      <c r="L1048329" s="2"/>
      <c r="M1048329" s="2"/>
    </row>
    <row r="1048330" customFormat="1" spans="6:13">
      <c r="F1048330" s="2"/>
      <c r="G1048330" s="2"/>
      <c r="H1048330" s="2"/>
      <c r="L1048330" s="2"/>
      <c r="M1048330" s="2"/>
    </row>
    <row r="1048331" customFormat="1" spans="6:13">
      <c r="F1048331" s="2"/>
      <c r="G1048331" s="2"/>
      <c r="H1048331" s="2"/>
      <c r="L1048331" s="2"/>
      <c r="M1048331" s="2"/>
    </row>
    <row r="1048332" customFormat="1" spans="6:13">
      <c r="F1048332" s="2"/>
      <c r="G1048332" s="2"/>
      <c r="H1048332" s="2"/>
      <c r="L1048332" s="2"/>
      <c r="M1048332" s="2"/>
    </row>
    <row r="1048333" customFormat="1" spans="6:13">
      <c r="F1048333" s="2"/>
      <c r="G1048333" s="2"/>
      <c r="H1048333" s="2"/>
      <c r="L1048333" s="2"/>
      <c r="M1048333" s="2"/>
    </row>
    <row r="1048334" customFormat="1" spans="6:13">
      <c r="F1048334" s="2"/>
      <c r="G1048334" s="2"/>
      <c r="H1048334" s="2"/>
      <c r="L1048334" s="2"/>
      <c r="M1048334" s="2"/>
    </row>
    <row r="1048335" customFormat="1" spans="6:13">
      <c r="F1048335" s="2"/>
      <c r="G1048335" s="2"/>
      <c r="H1048335" s="2"/>
      <c r="L1048335" s="2"/>
      <c r="M1048335" s="2"/>
    </row>
    <row r="1048336" customFormat="1" spans="6:13">
      <c r="F1048336" s="2"/>
      <c r="G1048336" s="2"/>
      <c r="H1048336" s="2"/>
      <c r="L1048336" s="2"/>
      <c r="M1048336" s="2"/>
    </row>
    <row r="1048337" customFormat="1" spans="6:13">
      <c r="F1048337" s="2"/>
      <c r="G1048337" s="2"/>
      <c r="H1048337" s="2"/>
      <c r="L1048337" s="2"/>
      <c r="M1048337" s="2"/>
    </row>
    <row r="1048338" customFormat="1" spans="6:13">
      <c r="F1048338" s="2"/>
      <c r="G1048338" s="2"/>
      <c r="H1048338" s="2"/>
      <c r="L1048338" s="2"/>
      <c r="M1048338" s="2"/>
    </row>
    <row r="1048339" customFormat="1" spans="6:13">
      <c r="F1048339" s="2"/>
      <c r="G1048339" s="2"/>
      <c r="H1048339" s="2"/>
      <c r="L1048339" s="2"/>
      <c r="M1048339" s="2"/>
    </row>
    <row r="1048340" customFormat="1" spans="6:13">
      <c r="F1048340" s="2"/>
      <c r="G1048340" s="2"/>
      <c r="H1048340" s="2"/>
      <c r="L1048340" s="2"/>
      <c r="M1048340" s="2"/>
    </row>
    <row r="1048341" customFormat="1" spans="6:13">
      <c r="F1048341" s="2"/>
      <c r="G1048341" s="2"/>
      <c r="H1048341" s="2"/>
      <c r="L1048341" s="2"/>
      <c r="M1048341" s="2"/>
    </row>
    <row r="1048342" customFormat="1" spans="6:13">
      <c r="F1048342" s="2"/>
      <c r="G1048342" s="2"/>
      <c r="H1048342" s="2"/>
      <c r="L1048342" s="2"/>
      <c r="M1048342" s="2"/>
    </row>
    <row r="1048343" customFormat="1" spans="6:13">
      <c r="F1048343" s="2"/>
      <c r="G1048343" s="2"/>
      <c r="H1048343" s="2"/>
      <c r="L1048343" s="2"/>
      <c r="M1048343" s="2"/>
    </row>
    <row r="1048344" customFormat="1" spans="6:13">
      <c r="F1048344" s="2"/>
      <c r="G1048344" s="2"/>
      <c r="H1048344" s="2"/>
      <c r="L1048344" s="2"/>
      <c r="M1048344" s="2"/>
    </row>
    <row r="1048345" customFormat="1" spans="6:13">
      <c r="F1048345" s="2"/>
      <c r="G1048345" s="2"/>
      <c r="H1048345" s="2"/>
      <c r="L1048345" s="2"/>
      <c r="M1048345" s="2"/>
    </row>
    <row r="1048346" customFormat="1" spans="6:13">
      <c r="F1048346" s="2"/>
      <c r="G1048346" s="2"/>
      <c r="H1048346" s="2"/>
      <c r="L1048346" s="2"/>
      <c r="M1048346" s="2"/>
    </row>
    <row r="1048347" customFormat="1" spans="6:13">
      <c r="F1048347" s="2"/>
      <c r="G1048347" s="2"/>
      <c r="H1048347" s="2"/>
      <c r="L1048347" s="2"/>
      <c r="M1048347" s="2"/>
    </row>
    <row r="1048348" customFormat="1" spans="6:13">
      <c r="F1048348" s="2"/>
      <c r="G1048348" s="2"/>
      <c r="H1048348" s="2"/>
      <c r="L1048348" s="2"/>
      <c r="M1048348" s="2"/>
    </row>
    <row r="1048349" customFormat="1" spans="6:13">
      <c r="F1048349" s="2"/>
      <c r="G1048349" s="2"/>
      <c r="H1048349" s="2"/>
      <c r="L1048349" s="2"/>
      <c r="M1048349" s="2"/>
    </row>
    <row r="1048350" customFormat="1" spans="6:13">
      <c r="F1048350" s="2"/>
      <c r="G1048350" s="2"/>
      <c r="H1048350" s="2"/>
      <c r="L1048350" s="2"/>
      <c r="M1048350" s="2"/>
    </row>
    <row r="1048351" customFormat="1" spans="6:13">
      <c r="F1048351" s="2"/>
      <c r="G1048351" s="2"/>
      <c r="H1048351" s="2"/>
      <c r="L1048351" s="2"/>
      <c r="M1048351" s="2"/>
    </row>
    <row r="1048352" customFormat="1" spans="6:13">
      <c r="F1048352" s="2"/>
      <c r="G1048352" s="2"/>
      <c r="H1048352" s="2"/>
      <c r="L1048352" s="2"/>
      <c r="M1048352" s="2"/>
    </row>
    <row r="1048353" customFormat="1" spans="6:13">
      <c r="F1048353" s="2"/>
      <c r="G1048353" s="2"/>
      <c r="H1048353" s="2"/>
      <c r="L1048353" s="2"/>
      <c r="M1048353" s="2"/>
    </row>
    <row r="1048354" customFormat="1" spans="6:13">
      <c r="F1048354" s="2"/>
      <c r="G1048354" s="2"/>
      <c r="H1048354" s="2"/>
      <c r="L1048354" s="2"/>
      <c r="M1048354" s="2"/>
    </row>
    <row r="1048355" customFormat="1" spans="6:13">
      <c r="F1048355" s="2"/>
      <c r="G1048355" s="2"/>
      <c r="H1048355" s="2"/>
      <c r="L1048355" s="2"/>
      <c r="M1048355" s="2"/>
    </row>
    <row r="1048356" customFormat="1" spans="6:13">
      <c r="F1048356" s="2"/>
      <c r="G1048356" s="2"/>
      <c r="H1048356" s="2"/>
      <c r="L1048356" s="2"/>
      <c r="M1048356" s="2"/>
    </row>
    <row r="1048357" customFormat="1" spans="6:13">
      <c r="F1048357" s="2"/>
      <c r="G1048357" s="2"/>
      <c r="H1048357" s="2"/>
      <c r="L1048357" s="2"/>
      <c r="M1048357" s="2"/>
    </row>
    <row r="1048358" customFormat="1" spans="6:13">
      <c r="F1048358" s="2"/>
      <c r="G1048358" s="2"/>
      <c r="H1048358" s="2"/>
      <c r="L1048358" s="2"/>
      <c r="M1048358" s="2"/>
    </row>
    <row r="1048359" customFormat="1" spans="6:13">
      <c r="F1048359" s="2"/>
      <c r="G1048359" s="2"/>
      <c r="H1048359" s="2"/>
      <c r="L1048359" s="2"/>
      <c r="M1048359" s="2"/>
    </row>
    <row r="1048360" customFormat="1" spans="6:13">
      <c r="F1048360" s="2"/>
      <c r="G1048360" s="2"/>
      <c r="H1048360" s="2"/>
      <c r="L1048360" s="2"/>
      <c r="M1048360" s="2"/>
    </row>
    <row r="1048361" customFormat="1" spans="6:13">
      <c r="F1048361" s="2"/>
      <c r="G1048361" s="2"/>
      <c r="H1048361" s="2"/>
      <c r="L1048361" s="2"/>
      <c r="M1048361" s="2"/>
    </row>
    <row r="1048362" customFormat="1" spans="6:13">
      <c r="F1048362" s="2"/>
      <c r="G1048362" s="2"/>
      <c r="H1048362" s="2"/>
      <c r="L1048362" s="2"/>
      <c r="M1048362" s="2"/>
    </row>
    <row r="1048363" customFormat="1" spans="6:13">
      <c r="F1048363" s="2"/>
      <c r="G1048363" s="2"/>
      <c r="H1048363" s="2"/>
      <c r="L1048363" s="2"/>
      <c r="M1048363" s="2"/>
    </row>
    <row r="1048364" customFormat="1" spans="6:13">
      <c r="F1048364" s="2"/>
      <c r="G1048364" s="2"/>
      <c r="H1048364" s="2"/>
      <c r="L1048364" s="2"/>
      <c r="M1048364" s="2"/>
    </row>
    <row r="1048365" customFormat="1" spans="6:13">
      <c r="F1048365" s="2"/>
      <c r="G1048365" s="2"/>
      <c r="H1048365" s="2"/>
      <c r="L1048365" s="2"/>
      <c r="M1048365" s="2"/>
    </row>
    <row r="1048366" customFormat="1" spans="6:13">
      <c r="F1048366" s="2"/>
      <c r="G1048366" s="2"/>
      <c r="H1048366" s="2"/>
      <c r="L1048366" s="2"/>
      <c r="M1048366" s="2"/>
    </row>
    <row r="1048367" customFormat="1" spans="6:13">
      <c r="F1048367" s="2"/>
      <c r="G1048367" s="2"/>
      <c r="H1048367" s="2"/>
      <c r="L1048367" s="2"/>
      <c r="M1048367" s="2"/>
    </row>
    <row r="1048368" customFormat="1" spans="6:13">
      <c r="F1048368" s="2"/>
      <c r="G1048368" s="2"/>
      <c r="H1048368" s="2"/>
      <c r="L1048368" s="2"/>
      <c r="M1048368" s="2"/>
    </row>
    <row r="1048369" customFormat="1" spans="6:13">
      <c r="F1048369" s="2"/>
      <c r="G1048369" s="2"/>
      <c r="H1048369" s="2"/>
      <c r="L1048369" s="2"/>
      <c r="M1048369" s="2"/>
    </row>
    <row r="1048370" customFormat="1" spans="6:13">
      <c r="F1048370" s="2"/>
      <c r="G1048370" s="2"/>
      <c r="H1048370" s="2"/>
      <c r="L1048370" s="2"/>
      <c r="M1048370" s="2"/>
    </row>
    <row r="1048371" customFormat="1" spans="6:13">
      <c r="F1048371" s="2"/>
      <c r="G1048371" s="2"/>
      <c r="H1048371" s="2"/>
      <c r="L1048371" s="2"/>
      <c r="M1048371" s="2"/>
    </row>
    <row r="1048372" customFormat="1" spans="6:13">
      <c r="F1048372" s="2"/>
      <c r="G1048372" s="2"/>
      <c r="H1048372" s="2"/>
      <c r="L1048372" s="2"/>
      <c r="M1048372" s="2"/>
    </row>
    <row r="1048373" customFormat="1" spans="6:13">
      <c r="F1048373" s="2"/>
      <c r="G1048373" s="2"/>
      <c r="H1048373" s="2"/>
      <c r="L1048373" s="2"/>
      <c r="M1048373" s="2"/>
    </row>
    <row r="1048374" customFormat="1" spans="6:13">
      <c r="F1048374" s="2"/>
      <c r="G1048374" s="2"/>
      <c r="H1048374" s="2"/>
      <c r="L1048374" s="2"/>
      <c r="M1048374" s="2"/>
    </row>
    <row r="1048375" customFormat="1" spans="6:13">
      <c r="F1048375" s="2"/>
      <c r="G1048375" s="2"/>
      <c r="H1048375" s="2"/>
      <c r="L1048375" s="2"/>
      <c r="M1048375" s="2"/>
    </row>
    <row r="1048376" customFormat="1" spans="6:13">
      <c r="F1048376" s="2"/>
      <c r="G1048376" s="2"/>
      <c r="H1048376" s="2"/>
      <c r="L1048376" s="2"/>
      <c r="M1048376" s="2"/>
    </row>
    <row r="1048377" customFormat="1" spans="6:13">
      <c r="F1048377" s="2"/>
      <c r="G1048377" s="2"/>
      <c r="H1048377" s="2"/>
      <c r="L1048377" s="2"/>
      <c r="M1048377" s="2"/>
    </row>
    <row r="1048378" customFormat="1" spans="6:13">
      <c r="F1048378" s="2"/>
      <c r="G1048378" s="2"/>
      <c r="H1048378" s="2"/>
      <c r="L1048378" s="2"/>
      <c r="M1048378" s="2"/>
    </row>
    <row r="1048379" customFormat="1" spans="6:13">
      <c r="F1048379" s="2"/>
      <c r="G1048379" s="2"/>
      <c r="H1048379" s="2"/>
      <c r="L1048379" s="2"/>
      <c r="M1048379" s="2"/>
    </row>
    <row r="1048380" customFormat="1" spans="6:13">
      <c r="F1048380" s="2"/>
      <c r="G1048380" s="2"/>
      <c r="H1048380" s="2"/>
      <c r="L1048380" s="2"/>
      <c r="M1048380" s="2"/>
    </row>
    <row r="1048381" customFormat="1" spans="6:13">
      <c r="F1048381" s="2"/>
      <c r="G1048381" s="2"/>
      <c r="H1048381" s="2"/>
      <c r="L1048381" s="2"/>
      <c r="M1048381" s="2"/>
    </row>
    <row r="1048382" customFormat="1" spans="6:13">
      <c r="F1048382" s="2"/>
      <c r="G1048382" s="2"/>
      <c r="H1048382" s="2"/>
      <c r="L1048382" s="2"/>
      <c r="M1048382" s="2"/>
    </row>
    <row r="1048383" customFormat="1" spans="6:13">
      <c r="F1048383" s="2"/>
      <c r="G1048383" s="2"/>
      <c r="H1048383" s="2"/>
      <c r="L1048383" s="2"/>
      <c r="M1048383" s="2"/>
    </row>
    <row r="1048384" customFormat="1" spans="6:13">
      <c r="F1048384" s="2"/>
      <c r="G1048384" s="2"/>
      <c r="H1048384" s="2"/>
      <c r="L1048384" s="2"/>
      <c r="M1048384" s="2"/>
    </row>
    <row r="1048385" customFormat="1" spans="6:13">
      <c r="F1048385" s="2"/>
      <c r="G1048385" s="2"/>
      <c r="H1048385" s="2"/>
      <c r="L1048385" s="2"/>
      <c r="M1048385" s="2"/>
    </row>
    <row r="1048386" customFormat="1" spans="6:13">
      <c r="F1048386" s="2"/>
      <c r="G1048386" s="2"/>
      <c r="H1048386" s="2"/>
      <c r="L1048386" s="2"/>
      <c r="M1048386" s="2"/>
    </row>
    <row r="1048387" customFormat="1" spans="6:13">
      <c r="F1048387" s="2"/>
      <c r="G1048387" s="2"/>
      <c r="H1048387" s="2"/>
      <c r="L1048387" s="2"/>
      <c r="M1048387" s="2"/>
    </row>
    <row r="1048388" customFormat="1" spans="6:13">
      <c r="F1048388" s="2"/>
      <c r="G1048388" s="2"/>
      <c r="H1048388" s="2"/>
      <c r="L1048388" s="2"/>
      <c r="M1048388" s="2"/>
    </row>
    <row r="1048389" customFormat="1" spans="6:13">
      <c r="F1048389" s="2"/>
      <c r="G1048389" s="2"/>
      <c r="H1048389" s="2"/>
      <c r="L1048389" s="2"/>
      <c r="M1048389" s="2"/>
    </row>
    <row r="1048390" customFormat="1" spans="6:13">
      <c r="F1048390" s="2"/>
      <c r="G1048390" s="2"/>
      <c r="H1048390" s="2"/>
      <c r="L1048390" s="2"/>
      <c r="M1048390" s="2"/>
    </row>
    <row r="1048391" customFormat="1" spans="6:13">
      <c r="F1048391" s="2"/>
      <c r="G1048391" s="2"/>
      <c r="H1048391" s="2"/>
      <c r="L1048391" s="2"/>
      <c r="M1048391" s="2"/>
    </row>
    <row r="1048392" customFormat="1" spans="6:13">
      <c r="F1048392" s="2"/>
      <c r="G1048392" s="2"/>
      <c r="H1048392" s="2"/>
      <c r="L1048392" s="2"/>
      <c r="M1048392" s="2"/>
    </row>
    <row r="1048393" customFormat="1" spans="6:13">
      <c r="F1048393" s="2"/>
      <c r="G1048393" s="2"/>
      <c r="H1048393" s="2"/>
      <c r="L1048393" s="2"/>
      <c r="M1048393" s="2"/>
    </row>
    <row r="1048394" customFormat="1" spans="6:13">
      <c r="F1048394" s="2"/>
      <c r="G1048394" s="2"/>
      <c r="H1048394" s="2"/>
      <c r="L1048394" s="2"/>
      <c r="M1048394" s="2"/>
    </row>
    <row r="1048395" customFormat="1" spans="6:13">
      <c r="F1048395" s="2"/>
      <c r="G1048395" s="2"/>
      <c r="H1048395" s="2"/>
      <c r="L1048395" s="2"/>
      <c r="M1048395" s="2"/>
    </row>
    <row r="1048396" customFormat="1" spans="6:13">
      <c r="F1048396" s="2"/>
      <c r="G1048396" s="2"/>
      <c r="H1048396" s="2"/>
      <c r="L1048396" s="2"/>
      <c r="M1048396" s="2"/>
    </row>
    <row r="1048397" customFormat="1" spans="6:13">
      <c r="F1048397" s="2"/>
      <c r="G1048397" s="2"/>
      <c r="H1048397" s="2"/>
      <c r="L1048397" s="2"/>
      <c r="M1048397" s="2"/>
    </row>
    <row r="1048398" customFormat="1" spans="6:13">
      <c r="F1048398" s="2"/>
      <c r="G1048398" s="2"/>
      <c r="H1048398" s="2"/>
      <c r="L1048398" s="2"/>
      <c r="M1048398" s="2"/>
    </row>
    <row r="1048399" customFormat="1" spans="6:13">
      <c r="F1048399" s="2"/>
      <c r="G1048399" s="2"/>
      <c r="H1048399" s="2"/>
      <c r="L1048399" s="2"/>
      <c r="M1048399" s="2"/>
    </row>
    <row r="1048400" customFormat="1" spans="6:13">
      <c r="F1048400" s="2"/>
      <c r="G1048400" s="2"/>
      <c r="H1048400" s="2"/>
      <c r="L1048400" s="2"/>
      <c r="M1048400" s="2"/>
    </row>
    <row r="1048401" customFormat="1" spans="6:13">
      <c r="F1048401" s="2"/>
      <c r="G1048401" s="2"/>
      <c r="H1048401" s="2"/>
      <c r="L1048401" s="2"/>
      <c r="M1048401" s="2"/>
    </row>
    <row r="1048402" customFormat="1" spans="6:13">
      <c r="F1048402" s="2"/>
      <c r="G1048402" s="2"/>
      <c r="H1048402" s="2"/>
      <c r="L1048402" s="2"/>
      <c r="M1048402" s="2"/>
    </row>
    <row r="1048403" customFormat="1" spans="6:13">
      <c r="F1048403" s="2"/>
      <c r="G1048403" s="2"/>
      <c r="H1048403" s="2"/>
      <c r="L1048403" s="2"/>
      <c r="M1048403" s="2"/>
    </row>
    <row r="1048404" customFormat="1" spans="6:13">
      <c r="F1048404" s="2"/>
      <c r="G1048404" s="2"/>
      <c r="H1048404" s="2"/>
      <c r="L1048404" s="2"/>
      <c r="M1048404" s="2"/>
    </row>
    <row r="1048405" customFormat="1" spans="6:13">
      <c r="F1048405" s="2"/>
      <c r="G1048405" s="2"/>
      <c r="H1048405" s="2"/>
      <c r="L1048405" s="2"/>
      <c r="M1048405" s="2"/>
    </row>
    <row r="1048406" customFormat="1" spans="6:13">
      <c r="F1048406" s="2"/>
      <c r="G1048406" s="2"/>
      <c r="H1048406" s="2"/>
      <c r="L1048406" s="2"/>
      <c r="M1048406" s="2"/>
    </row>
    <row r="1048407" customFormat="1" spans="6:13">
      <c r="F1048407" s="2"/>
      <c r="G1048407" s="2"/>
      <c r="H1048407" s="2"/>
      <c r="L1048407" s="2"/>
      <c r="M1048407" s="2"/>
    </row>
    <row r="1048408" customFormat="1" spans="6:13">
      <c r="F1048408" s="2"/>
      <c r="G1048408" s="2"/>
      <c r="H1048408" s="2"/>
      <c r="L1048408" s="2"/>
      <c r="M1048408" s="2"/>
    </row>
    <row r="1048409" customFormat="1" spans="6:13">
      <c r="F1048409" s="2"/>
      <c r="G1048409" s="2"/>
      <c r="H1048409" s="2"/>
      <c r="L1048409" s="2"/>
      <c r="M1048409" s="2"/>
    </row>
    <row r="1048410" customFormat="1" spans="6:13">
      <c r="F1048410" s="2"/>
      <c r="G1048410" s="2"/>
      <c r="H1048410" s="2"/>
      <c r="L1048410" s="2"/>
      <c r="M1048410" s="2"/>
    </row>
    <row r="1048411" customFormat="1" spans="6:13">
      <c r="F1048411" s="2"/>
      <c r="G1048411" s="2"/>
      <c r="H1048411" s="2"/>
      <c r="L1048411" s="2"/>
      <c r="M1048411" s="2"/>
    </row>
    <row r="1048412" customFormat="1" spans="6:13">
      <c r="F1048412" s="2"/>
      <c r="G1048412" s="2"/>
      <c r="H1048412" s="2"/>
      <c r="L1048412" s="2"/>
      <c r="M1048412" s="2"/>
    </row>
    <row r="1048413" customFormat="1" spans="6:13">
      <c r="F1048413" s="2"/>
      <c r="G1048413" s="2"/>
      <c r="H1048413" s="2"/>
      <c r="L1048413" s="2"/>
      <c r="M1048413" s="2"/>
    </row>
    <row r="1048414" customFormat="1" spans="6:13">
      <c r="F1048414" s="2"/>
      <c r="G1048414" s="2"/>
      <c r="H1048414" s="2"/>
      <c r="L1048414" s="2"/>
      <c r="M1048414" s="2"/>
    </row>
    <row r="1048415" customFormat="1" spans="6:13">
      <c r="F1048415" s="2"/>
      <c r="G1048415" s="2"/>
      <c r="H1048415" s="2"/>
      <c r="L1048415" s="2"/>
      <c r="M1048415" s="2"/>
    </row>
    <row r="1048416" customFormat="1" spans="6:13">
      <c r="F1048416" s="2"/>
      <c r="G1048416" s="2"/>
      <c r="H1048416" s="2"/>
      <c r="L1048416" s="2"/>
      <c r="M1048416" s="2"/>
    </row>
    <row r="1048417" customFormat="1" spans="6:13">
      <c r="F1048417" s="2"/>
      <c r="G1048417" s="2"/>
      <c r="H1048417" s="2"/>
      <c r="L1048417" s="2"/>
      <c r="M1048417" s="2"/>
    </row>
    <row r="1048418" customFormat="1" spans="6:13">
      <c r="F1048418" s="2"/>
      <c r="G1048418" s="2"/>
      <c r="H1048418" s="2"/>
      <c r="L1048418" s="2"/>
      <c r="M1048418" s="2"/>
    </row>
    <row r="1048419" customFormat="1" spans="6:13">
      <c r="F1048419" s="2"/>
      <c r="G1048419" s="2"/>
      <c r="H1048419" s="2"/>
      <c r="L1048419" s="2"/>
      <c r="M1048419" s="2"/>
    </row>
    <row r="1048420" customFormat="1" spans="6:13">
      <c r="F1048420" s="2"/>
      <c r="G1048420" s="2"/>
      <c r="H1048420" s="2"/>
      <c r="L1048420" s="2"/>
      <c r="M1048420" s="2"/>
    </row>
    <row r="1048421" customFormat="1" spans="6:13">
      <c r="F1048421" s="2"/>
      <c r="G1048421" s="2"/>
      <c r="H1048421" s="2"/>
      <c r="L1048421" s="2"/>
      <c r="M1048421" s="2"/>
    </row>
    <row r="1048422" customFormat="1" spans="6:13">
      <c r="F1048422" s="2"/>
      <c r="G1048422" s="2"/>
      <c r="H1048422" s="2"/>
      <c r="L1048422" s="2"/>
      <c r="M1048422" s="2"/>
    </row>
    <row r="1048423" customFormat="1" spans="6:13">
      <c r="F1048423" s="2"/>
      <c r="G1048423" s="2"/>
      <c r="H1048423" s="2"/>
      <c r="L1048423" s="2"/>
      <c r="M1048423" s="2"/>
    </row>
    <row r="1048424" customFormat="1" spans="6:13">
      <c r="F1048424" s="2"/>
      <c r="G1048424" s="2"/>
      <c r="H1048424" s="2"/>
      <c r="L1048424" s="2"/>
      <c r="M1048424" s="2"/>
    </row>
    <row r="1048425" customFormat="1" spans="6:13">
      <c r="F1048425" s="2"/>
      <c r="G1048425" s="2"/>
      <c r="H1048425" s="2"/>
      <c r="L1048425" s="2"/>
      <c r="M1048425" s="2"/>
    </row>
    <row r="1048426" customFormat="1" spans="6:13">
      <c r="F1048426" s="2"/>
      <c r="G1048426" s="2"/>
      <c r="H1048426" s="2"/>
      <c r="L1048426" s="2"/>
      <c r="M1048426" s="2"/>
    </row>
    <row r="1048427" customFormat="1" spans="6:13">
      <c r="F1048427" s="2"/>
      <c r="G1048427" s="2"/>
      <c r="H1048427" s="2"/>
      <c r="L1048427" s="2"/>
      <c r="M1048427" s="2"/>
    </row>
    <row r="1048428" customFormat="1" spans="6:13">
      <c r="F1048428" s="2"/>
      <c r="G1048428" s="2"/>
      <c r="H1048428" s="2"/>
      <c r="L1048428" s="2"/>
      <c r="M1048428" s="2"/>
    </row>
    <row r="1048429" customFormat="1" spans="6:13">
      <c r="F1048429" s="2"/>
      <c r="G1048429" s="2"/>
      <c r="H1048429" s="2"/>
      <c r="L1048429" s="2"/>
      <c r="M1048429" s="2"/>
    </row>
    <row r="1048430" customFormat="1" spans="6:13">
      <c r="F1048430" s="2"/>
      <c r="G1048430" s="2"/>
      <c r="H1048430" s="2"/>
      <c r="L1048430" s="2"/>
      <c r="M1048430" s="2"/>
    </row>
    <row r="1048431" customFormat="1" spans="6:13">
      <c r="F1048431" s="2"/>
      <c r="G1048431" s="2"/>
      <c r="H1048431" s="2"/>
      <c r="L1048431" s="2"/>
      <c r="M1048431" s="2"/>
    </row>
    <row r="1048432" customFormat="1" spans="6:13">
      <c r="F1048432" s="2"/>
      <c r="G1048432" s="2"/>
      <c r="H1048432" s="2"/>
      <c r="L1048432" s="2"/>
      <c r="M1048432" s="2"/>
    </row>
    <row r="1048433" customFormat="1" spans="6:13">
      <c r="F1048433" s="2"/>
      <c r="G1048433" s="2"/>
      <c r="H1048433" s="2"/>
      <c r="L1048433" s="2"/>
      <c r="M1048433" s="2"/>
    </row>
    <row r="1048434" customFormat="1" spans="6:13">
      <c r="F1048434" s="2"/>
      <c r="G1048434" s="2"/>
      <c r="H1048434" s="2"/>
      <c r="L1048434" s="2"/>
      <c r="M1048434" s="2"/>
    </row>
    <row r="1048435" customFormat="1" spans="6:13">
      <c r="F1048435" s="2"/>
      <c r="G1048435" s="2"/>
      <c r="H1048435" s="2"/>
      <c r="L1048435" s="2"/>
      <c r="M1048435" s="2"/>
    </row>
    <row r="1048436" customFormat="1" spans="6:13">
      <c r="F1048436" s="2"/>
      <c r="G1048436" s="2"/>
      <c r="H1048436" s="2"/>
      <c r="L1048436" s="2"/>
      <c r="M1048436" s="2"/>
    </row>
    <row r="1048437" customFormat="1" spans="6:13">
      <c r="F1048437" s="2"/>
      <c r="G1048437" s="2"/>
      <c r="H1048437" s="2"/>
      <c r="L1048437" s="2"/>
      <c r="M1048437" s="2"/>
    </row>
    <row r="1048438" customFormat="1" spans="6:13">
      <c r="F1048438" s="2"/>
      <c r="G1048438" s="2"/>
      <c r="H1048438" s="2"/>
      <c r="L1048438" s="2"/>
      <c r="M1048438" s="2"/>
    </row>
    <row r="1048439" customFormat="1" spans="6:13">
      <c r="F1048439" s="2"/>
      <c r="G1048439" s="2"/>
      <c r="H1048439" s="2"/>
      <c r="L1048439" s="2"/>
      <c r="M1048439" s="2"/>
    </row>
    <row r="1048440" customFormat="1" spans="6:13">
      <c r="F1048440" s="2"/>
      <c r="G1048440" s="2"/>
      <c r="H1048440" s="2"/>
      <c r="L1048440" s="2"/>
      <c r="M1048440" s="2"/>
    </row>
    <row r="1048441" customFormat="1" spans="6:13">
      <c r="F1048441" s="2"/>
      <c r="G1048441" s="2"/>
      <c r="H1048441" s="2"/>
      <c r="L1048441" s="2"/>
      <c r="M1048441" s="2"/>
    </row>
    <row r="1048442" customFormat="1" spans="6:13">
      <c r="F1048442" s="2"/>
      <c r="G1048442" s="2"/>
      <c r="H1048442" s="2"/>
      <c r="L1048442" s="2"/>
      <c r="M1048442" s="2"/>
    </row>
    <row r="1048443" customFormat="1" spans="6:13">
      <c r="F1048443" s="2"/>
      <c r="G1048443" s="2"/>
      <c r="H1048443" s="2"/>
      <c r="L1048443" s="2"/>
      <c r="M1048443" s="2"/>
    </row>
    <row r="1048444" customFormat="1" spans="6:13">
      <c r="F1048444" s="2"/>
      <c r="G1048444" s="2"/>
      <c r="H1048444" s="2"/>
      <c r="L1048444" s="2"/>
      <c r="M1048444" s="2"/>
    </row>
    <row r="1048445" customFormat="1" spans="6:13">
      <c r="F1048445" s="2"/>
      <c r="G1048445" s="2"/>
      <c r="H1048445" s="2"/>
      <c r="L1048445" s="2"/>
      <c r="M1048445" s="2"/>
    </row>
    <row r="1048446" customFormat="1" spans="6:13">
      <c r="F1048446" s="2"/>
      <c r="G1048446" s="2"/>
      <c r="H1048446" s="2"/>
      <c r="L1048446" s="2"/>
      <c r="M1048446" s="2"/>
    </row>
    <row r="1048447" customFormat="1" spans="6:13">
      <c r="F1048447" s="2"/>
      <c r="G1048447" s="2"/>
      <c r="H1048447" s="2"/>
      <c r="L1048447" s="2"/>
      <c r="M1048447" s="2"/>
    </row>
    <row r="1048448" customFormat="1" spans="6:13">
      <c r="F1048448" s="2"/>
      <c r="G1048448" s="2"/>
      <c r="H1048448" s="2"/>
      <c r="L1048448" s="2"/>
      <c r="M1048448" s="2"/>
    </row>
    <row r="1048449" customFormat="1" spans="6:13">
      <c r="F1048449" s="2"/>
      <c r="G1048449" s="2"/>
      <c r="H1048449" s="2"/>
      <c r="L1048449" s="2"/>
      <c r="M1048449" s="2"/>
    </row>
    <row r="1048450" customFormat="1" spans="6:13">
      <c r="F1048450" s="2"/>
      <c r="G1048450" s="2"/>
      <c r="H1048450" s="2"/>
      <c r="L1048450" s="2"/>
      <c r="M1048450" s="2"/>
    </row>
    <row r="1048451" customFormat="1" spans="6:13">
      <c r="F1048451" s="2"/>
      <c r="G1048451" s="2"/>
      <c r="H1048451" s="2"/>
      <c r="L1048451" s="2"/>
      <c r="M1048451" s="2"/>
    </row>
    <row r="1048452" customFormat="1" spans="6:13">
      <c r="F1048452" s="2"/>
      <c r="G1048452" s="2"/>
      <c r="H1048452" s="2"/>
      <c r="L1048452" s="2"/>
      <c r="M1048452" s="2"/>
    </row>
    <row r="1048453" customFormat="1" spans="6:13">
      <c r="F1048453" s="2"/>
      <c r="G1048453" s="2"/>
      <c r="H1048453" s="2"/>
      <c r="L1048453" s="2"/>
      <c r="M1048453" s="2"/>
    </row>
    <row r="1048454" customFormat="1" spans="6:13">
      <c r="F1048454" s="2"/>
      <c r="G1048454" s="2"/>
      <c r="H1048454" s="2"/>
      <c r="L1048454" s="2"/>
      <c r="M1048454" s="2"/>
    </row>
    <row r="1048455" customFormat="1" spans="6:13">
      <c r="F1048455" s="2"/>
      <c r="G1048455" s="2"/>
      <c r="H1048455" s="2"/>
      <c r="L1048455" s="2"/>
      <c r="M1048455" s="2"/>
    </row>
    <row r="1048456" customFormat="1" spans="6:13">
      <c r="F1048456" s="2"/>
      <c r="G1048456" s="2"/>
      <c r="H1048456" s="2"/>
      <c r="L1048456" s="2"/>
      <c r="M1048456" s="2"/>
    </row>
    <row r="1048457" customFormat="1" spans="6:13">
      <c r="F1048457" s="2"/>
      <c r="G1048457" s="2"/>
      <c r="H1048457" s="2"/>
      <c r="L1048457" s="2"/>
      <c r="M1048457" s="2"/>
    </row>
    <row r="1048458" customFormat="1" spans="6:13">
      <c r="F1048458" s="2"/>
      <c r="G1048458" s="2"/>
      <c r="H1048458" s="2"/>
      <c r="L1048458" s="2"/>
      <c r="M1048458" s="2"/>
    </row>
    <row r="1048459" customFormat="1" spans="6:13">
      <c r="F1048459" s="2"/>
      <c r="G1048459" s="2"/>
      <c r="H1048459" s="2"/>
      <c r="L1048459" s="2"/>
      <c r="M1048459" s="2"/>
    </row>
    <row r="1048460" customFormat="1" spans="6:13">
      <c r="F1048460" s="2"/>
      <c r="G1048460" s="2"/>
      <c r="H1048460" s="2"/>
      <c r="L1048460" s="2"/>
      <c r="M1048460" s="2"/>
    </row>
    <row r="1048461" customFormat="1" spans="6:13">
      <c r="F1048461" s="2"/>
      <c r="G1048461" s="2"/>
      <c r="H1048461" s="2"/>
      <c r="L1048461" s="2"/>
      <c r="M1048461" s="2"/>
    </row>
    <row r="1048462" customFormat="1" spans="6:13">
      <c r="F1048462" s="2"/>
      <c r="G1048462" s="2"/>
      <c r="H1048462" s="2"/>
      <c r="L1048462" s="2"/>
      <c r="M1048462" s="2"/>
    </row>
    <row r="1048463" customFormat="1" spans="6:13">
      <c r="F1048463" s="2"/>
      <c r="G1048463" s="2"/>
      <c r="H1048463" s="2"/>
      <c r="L1048463" s="2"/>
      <c r="M1048463" s="2"/>
    </row>
    <row r="1048464" customFormat="1" spans="6:13">
      <c r="F1048464" s="2"/>
      <c r="G1048464" s="2"/>
      <c r="H1048464" s="2"/>
      <c r="L1048464" s="2"/>
      <c r="M1048464" s="2"/>
    </row>
    <row r="1048465" customFormat="1" spans="6:13">
      <c r="F1048465" s="2"/>
      <c r="G1048465" s="2"/>
      <c r="H1048465" s="2"/>
      <c r="L1048465" s="2"/>
      <c r="M1048465" s="2"/>
    </row>
    <row r="1048466" customFormat="1" spans="6:13">
      <c r="F1048466" s="2"/>
      <c r="G1048466" s="2"/>
      <c r="H1048466" s="2"/>
      <c r="L1048466" s="2"/>
      <c r="M1048466" s="2"/>
    </row>
    <row r="1048467" customFormat="1" spans="6:13">
      <c r="F1048467" s="2"/>
      <c r="G1048467" s="2"/>
      <c r="H1048467" s="2"/>
      <c r="L1048467" s="2"/>
      <c r="M1048467" s="2"/>
    </row>
    <row r="1048468" customFormat="1" spans="6:13">
      <c r="F1048468" s="2"/>
      <c r="G1048468" s="2"/>
      <c r="H1048468" s="2"/>
      <c r="L1048468" s="2"/>
      <c r="M1048468" s="2"/>
    </row>
    <row r="1048469" customFormat="1" spans="6:13">
      <c r="F1048469" s="2"/>
      <c r="G1048469" s="2"/>
      <c r="H1048469" s="2"/>
      <c r="L1048469" s="2"/>
      <c r="M1048469" s="2"/>
    </row>
    <row r="1048470" customFormat="1" spans="6:13">
      <c r="F1048470" s="2"/>
      <c r="G1048470" s="2"/>
      <c r="H1048470" s="2"/>
      <c r="L1048470" s="2"/>
      <c r="M1048470" s="2"/>
    </row>
    <row r="1048471" customFormat="1" spans="6:13">
      <c r="F1048471" s="2"/>
      <c r="G1048471" s="2"/>
      <c r="H1048471" s="2"/>
      <c r="L1048471" s="2"/>
      <c r="M1048471" s="2"/>
    </row>
    <row r="1048472" customFormat="1" spans="6:13">
      <c r="F1048472" s="2"/>
      <c r="G1048472" s="2"/>
      <c r="H1048472" s="2"/>
      <c r="L1048472" s="2"/>
      <c r="M1048472" s="2"/>
    </row>
    <row r="1048473" customFormat="1" spans="6:13">
      <c r="F1048473" s="2"/>
      <c r="G1048473" s="2"/>
      <c r="H1048473" s="2"/>
      <c r="L1048473" s="2"/>
      <c r="M1048473" s="2"/>
    </row>
    <row r="1048474" customFormat="1" spans="6:13">
      <c r="F1048474" s="2"/>
      <c r="G1048474" s="2"/>
      <c r="H1048474" s="2"/>
      <c r="L1048474" s="2"/>
      <c r="M1048474" s="2"/>
    </row>
    <row r="1048475" customFormat="1" spans="6:13">
      <c r="F1048475" s="2"/>
      <c r="G1048475" s="2"/>
      <c r="H1048475" s="2"/>
      <c r="L1048475" s="2"/>
      <c r="M1048475" s="2"/>
    </row>
    <row r="1048476" customFormat="1" spans="6:13">
      <c r="F1048476" s="2"/>
      <c r="G1048476" s="2"/>
      <c r="H1048476" s="2"/>
      <c r="L1048476" s="2"/>
      <c r="M1048476" s="2"/>
    </row>
    <row r="1048477" customFormat="1" spans="6:13">
      <c r="F1048477" s="2"/>
      <c r="G1048477" s="2"/>
      <c r="H1048477" s="2"/>
      <c r="L1048477" s="2"/>
      <c r="M1048477" s="2"/>
    </row>
    <row r="1048478" customFormat="1" spans="6:13">
      <c r="F1048478" s="2"/>
      <c r="G1048478" s="2"/>
      <c r="H1048478" s="2"/>
      <c r="L1048478" s="2"/>
      <c r="M1048478" s="2"/>
    </row>
    <row r="1048479" customFormat="1" spans="6:13">
      <c r="F1048479" s="2"/>
      <c r="G1048479" s="2"/>
      <c r="H1048479" s="2"/>
      <c r="L1048479" s="2"/>
      <c r="M1048479" s="2"/>
    </row>
    <row r="1048480" customFormat="1" spans="6:13">
      <c r="F1048480" s="2"/>
      <c r="G1048480" s="2"/>
      <c r="H1048480" s="2"/>
      <c r="L1048480" s="2"/>
      <c r="M1048480" s="2"/>
    </row>
    <row r="1048481" customFormat="1" spans="6:13">
      <c r="F1048481" s="2"/>
      <c r="G1048481" s="2"/>
      <c r="H1048481" s="2"/>
      <c r="L1048481" s="2"/>
      <c r="M1048481" s="2"/>
    </row>
    <row r="1048482" customFormat="1" spans="6:13">
      <c r="F1048482" s="2"/>
      <c r="G1048482" s="2"/>
      <c r="H1048482" s="2"/>
      <c r="L1048482" s="2"/>
      <c r="M1048482" s="2"/>
    </row>
    <row r="1048483" customFormat="1" spans="6:13">
      <c r="F1048483" s="2"/>
      <c r="G1048483" s="2"/>
      <c r="H1048483" s="2"/>
      <c r="L1048483" s="2"/>
      <c r="M1048483" s="2"/>
    </row>
    <row r="1048484" customFormat="1" spans="6:13">
      <c r="F1048484" s="2"/>
      <c r="G1048484" s="2"/>
      <c r="H1048484" s="2"/>
      <c r="L1048484" s="2"/>
      <c r="M1048484" s="2"/>
    </row>
    <row r="1048485" customFormat="1" spans="6:13">
      <c r="F1048485" s="2"/>
      <c r="G1048485" s="2"/>
      <c r="H1048485" s="2"/>
      <c r="L1048485" s="2"/>
      <c r="M1048485" s="2"/>
    </row>
    <row r="1048486" customFormat="1" spans="6:13">
      <c r="G1048486" s="2"/>
      <c r="H1048486" s="2"/>
      <c r="L1048486" s="2"/>
    </row>
    <row r="1048487" customFormat="1" spans="6:13">
      <c r="G1048487" s="2"/>
      <c r="H1048487" s="2"/>
      <c r="L1048487" s="2"/>
    </row>
    <row r="1048488" customFormat="1" spans="6:13">
      <c r="G1048488" s="2"/>
      <c r="H1048488" s="2"/>
      <c r="L1048488" s="2"/>
    </row>
    <row r="1048489" customFormat="1" spans="6:13">
      <c r="G1048489" s="2"/>
      <c r="H1048489" s="2"/>
      <c r="L1048489" s="2"/>
    </row>
    <row r="1048490" customFormat="1" spans="6:13">
      <c r="G1048490" s="2"/>
      <c r="H1048490" s="2"/>
      <c r="L1048490" s="2"/>
    </row>
    <row r="1048491" customFormat="1" spans="6:13">
      <c r="G1048491" s="2"/>
      <c r="H1048491" s="2"/>
      <c r="L1048491" s="2"/>
    </row>
    <row r="1048492" customFormat="1" spans="6:13">
      <c r="G1048492" s="2"/>
      <c r="H1048492" s="2"/>
      <c r="L1048492" s="2"/>
    </row>
    <row r="1048493" customFormat="1" spans="6:13">
      <c r="G1048493" s="2"/>
      <c r="H1048493" s="2"/>
      <c r="L1048493" s="2"/>
    </row>
    <row r="1048494" customFormat="1" spans="6:13">
      <c r="G1048494" s="2"/>
      <c r="H1048494" s="2"/>
      <c r="L1048494" s="2"/>
    </row>
    <row r="1048495" customFormat="1" spans="6:13">
      <c r="G1048495" s="2"/>
      <c r="H1048495" s="2"/>
      <c r="L1048495" s="2"/>
    </row>
    <row r="1048496" customFormat="1" spans="6:13">
      <c r="G1048496" s="2"/>
      <c r="H1048496" s="2"/>
      <c r="L1048496" s="2"/>
    </row>
    <row r="1048497" customFormat="1" spans="7:12">
      <c r="G1048497" s="2"/>
      <c r="H1048497" s="2"/>
      <c r="L1048497" s="2"/>
    </row>
    <row r="1048498" customFormat="1" spans="7:12">
      <c r="G1048498" s="2"/>
      <c r="H1048498" s="2"/>
      <c r="L1048498" s="2"/>
    </row>
    <row r="1048499" customFormat="1" spans="7:12">
      <c r="G1048499" s="2"/>
      <c r="H1048499" s="2"/>
      <c r="L1048499" s="2"/>
    </row>
    <row r="1048500" customFormat="1" spans="7:12">
      <c r="G1048500" s="2"/>
      <c r="H1048500" s="2"/>
      <c r="L1048500" s="2"/>
    </row>
    <row r="1048501" customFormat="1" spans="7:12">
      <c r="G1048501" s="2"/>
      <c r="H1048501" s="2"/>
      <c r="L1048501" s="2"/>
    </row>
    <row r="1048502" customFormat="1" spans="7:12">
      <c r="G1048502" s="2"/>
      <c r="H1048502" s="2"/>
      <c r="L1048502" s="2"/>
    </row>
    <row r="1048503" customFormat="1" spans="7:12">
      <c r="G1048503" s="2"/>
      <c r="H1048503" s="2"/>
      <c r="L1048503" s="2"/>
    </row>
    <row r="1048504" customFormat="1" spans="7:12">
      <c r="G1048504" s="2"/>
      <c r="H1048504" s="2"/>
      <c r="L1048504" s="2"/>
    </row>
    <row r="1048505" customFormat="1" spans="7:12">
      <c r="G1048505" s="2"/>
      <c r="H1048505" s="2"/>
      <c r="L1048505" s="2"/>
    </row>
    <row r="1048506" customFormat="1" spans="7:12">
      <c r="G1048506" s="2"/>
      <c r="H1048506" s="2"/>
      <c r="L1048506" s="2"/>
    </row>
    <row r="1048507" customFormat="1" spans="7:12">
      <c r="G1048507" s="2"/>
      <c r="H1048507" s="2"/>
      <c r="L1048507" s="2"/>
    </row>
    <row r="1048508" customFormat="1" spans="7:12">
      <c r="G1048508" s="2"/>
      <c r="H1048508" s="2"/>
      <c r="L1048508" s="2"/>
    </row>
    <row r="1048509" customFormat="1" spans="7:12">
      <c r="G1048509" s="2"/>
      <c r="H1048509" s="2"/>
      <c r="L1048509" s="2"/>
    </row>
    <row r="1048510" customFormat="1" spans="7:12">
      <c r="G1048510" s="2"/>
      <c r="H1048510" s="2"/>
      <c r="L1048510" s="2"/>
    </row>
    <row r="1048511" customFormat="1" spans="7:12">
      <c r="G1048511" s="2"/>
      <c r="H1048511" s="2"/>
      <c r="L1048511" s="2"/>
    </row>
    <row r="1048512" customFormat="1" spans="7:12">
      <c r="G1048512" s="2"/>
      <c r="H1048512" s="2"/>
      <c r="L1048512" s="2"/>
    </row>
    <row r="1048513" customFormat="1" spans="7:12">
      <c r="G1048513" s="2"/>
      <c r="H1048513" s="2"/>
      <c r="L1048513" s="2"/>
    </row>
    <row r="1048514" customFormat="1" spans="7:12">
      <c r="G1048514" s="2"/>
      <c r="H1048514" s="2"/>
      <c r="L1048514" s="2"/>
    </row>
    <row r="1048515" customFormat="1" spans="7:12">
      <c r="G1048515" s="2"/>
      <c r="H1048515" s="2"/>
      <c r="L1048515" s="2"/>
    </row>
    <row r="1048516" customFormat="1" spans="7:12">
      <c r="G1048516" s="2"/>
      <c r="H1048516" s="2"/>
      <c r="L1048516" s="2"/>
    </row>
    <row r="1048517" customFormat="1" spans="7:12">
      <c r="G1048517" s="2"/>
      <c r="H1048517" s="2"/>
      <c r="L1048517" s="2"/>
    </row>
    <row r="1048518" customFormat="1" spans="7:12">
      <c r="G1048518" s="2"/>
      <c r="H1048518" s="2"/>
      <c r="L1048518" s="2"/>
    </row>
    <row r="1048519" customFormat="1" spans="7:12">
      <c r="G1048519" s="2"/>
      <c r="H1048519" s="2"/>
      <c r="L1048519" s="2"/>
    </row>
    <row r="1048520" customFormat="1" spans="7:12">
      <c r="G1048520" s="2"/>
      <c r="H1048520" s="2"/>
      <c r="L1048520" s="2"/>
    </row>
    <row r="1048521" customFormat="1" spans="7:12">
      <c r="G1048521" s="2"/>
      <c r="H1048521" s="2"/>
      <c r="L1048521" s="2"/>
    </row>
    <row r="1048522" customFormat="1" spans="7:12">
      <c r="G1048522" s="2"/>
      <c r="H1048522" s="2"/>
      <c r="L1048522" s="2"/>
    </row>
    <row r="1048523" customFormat="1" spans="7:12">
      <c r="G1048523" s="2"/>
      <c r="H1048523" s="2"/>
      <c r="L1048523" s="2"/>
    </row>
    <row r="1048524" customFormat="1" spans="7:12">
      <c r="G1048524" s="2"/>
      <c r="H1048524" s="2"/>
      <c r="L1048524" s="2"/>
    </row>
    <row r="1048525" customFormat="1" spans="7:12">
      <c r="G1048525" s="2"/>
      <c r="H1048525" s="2"/>
      <c r="L1048525" s="2"/>
    </row>
    <row r="1048526" customFormat="1" spans="7:12">
      <c r="G1048526" s="2"/>
      <c r="H1048526" s="2"/>
      <c r="L1048526" s="2"/>
    </row>
    <row r="1048527" customFormat="1" spans="7:12">
      <c r="G1048527" s="2"/>
      <c r="H1048527" s="2"/>
      <c r="L1048527" s="2"/>
    </row>
    <row r="1048528" customFormat="1" spans="7:12">
      <c r="G1048528" s="2"/>
      <c r="H1048528" s="2"/>
      <c r="L1048528" s="2"/>
    </row>
    <row r="1048529" customFormat="1" spans="7:12">
      <c r="G1048529" s="2"/>
      <c r="H1048529" s="2"/>
      <c r="L1048529" s="2"/>
    </row>
    <row r="1048530" customFormat="1" spans="7:12">
      <c r="G1048530" s="2"/>
      <c r="H1048530" s="2"/>
      <c r="L1048530" s="2"/>
    </row>
    <row r="1048531" customFormat="1" spans="7:12">
      <c r="G1048531" s="2"/>
      <c r="H1048531" s="2"/>
      <c r="L1048531" s="2"/>
    </row>
    <row r="1048532" customFormat="1" spans="7:12">
      <c r="G1048532" s="2"/>
      <c r="H1048532" s="2"/>
      <c r="L1048532" s="2"/>
    </row>
    <row r="1048533" customFormat="1" spans="7:12">
      <c r="G1048533" s="2"/>
      <c r="H1048533" s="2"/>
      <c r="L1048533" s="2"/>
    </row>
    <row r="1048534" customFormat="1" spans="7:12">
      <c r="G1048534" s="2"/>
      <c r="H1048534" s="2"/>
      <c r="L1048534" s="2"/>
    </row>
    <row r="1048535" customFormat="1" spans="7:12">
      <c r="G1048535" s="2"/>
      <c r="H1048535" s="2"/>
      <c r="L1048535" s="2"/>
    </row>
    <row r="1048536" customFormat="1" spans="7:12">
      <c r="G1048536" s="2"/>
      <c r="H1048536" s="2"/>
      <c r="L1048536" s="2"/>
    </row>
    <row r="1048537" customFormat="1" spans="7:12">
      <c r="G1048537" s="2"/>
      <c r="H1048537" s="2"/>
      <c r="L1048537" s="2"/>
    </row>
    <row r="1048538" customFormat="1" spans="7:12">
      <c r="G1048538" s="2"/>
      <c r="H1048538" s="2"/>
      <c r="L1048538" s="2"/>
    </row>
    <row r="1048539" customFormat="1" spans="7:12">
      <c r="G1048539" s="2"/>
      <c r="H1048539" s="2"/>
      <c r="L1048539" s="2"/>
    </row>
    <row r="1048540" customFormat="1" spans="7:12">
      <c r="G1048540" s="2"/>
      <c r="H1048540" s="2"/>
      <c r="L1048540" s="2"/>
    </row>
    <row r="1048541" customFormat="1" spans="7:12">
      <c r="G1048541" s="2"/>
      <c r="H1048541" s="2"/>
      <c r="L1048541" s="2"/>
    </row>
    <row r="1048542" customFormat="1" spans="7:12">
      <c r="G1048542" s="2"/>
      <c r="H1048542" s="2"/>
      <c r="L1048542" s="2"/>
    </row>
    <row r="1048543" customFormat="1" spans="7:12">
      <c r="G1048543" s="2"/>
      <c r="H1048543" s="2"/>
      <c r="L1048543" s="2"/>
    </row>
    <row r="1048544" customFormat="1" spans="7:12">
      <c r="G1048544" s="2"/>
      <c r="H1048544" s="2"/>
      <c r="L1048544" s="2"/>
    </row>
    <row r="1048545" customFormat="1" spans="7:12">
      <c r="G1048545" s="2"/>
      <c r="H1048545" s="2"/>
      <c r="L1048545" s="2"/>
    </row>
    <row r="1048546" customFormat="1" spans="7:12">
      <c r="G1048546" s="2"/>
      <c r="H1048546" s="2"/>
      <c r="L1048546" s="2"/>
    </row>
    <row r="1048547" customFormat="1" spans="7:12">
      <c r="G1048547" s="2"/>
      <c r="H1048547" s="2"/>
      <c r="L1048547" s="2"/>
    </row>
    <row r="1048548" customFormat="1" spans="7:12">
      <c r="G1048548" s="2"/>
      <c r="H1048548" s="2"/>
      <c r="L1048548" s="2"/>
    </row>
    <row r="1048549" customFormat="1" spans="7:12">
      <c r="G1048549" s="2"/>
      <c r="H1048549" s="2"/>
      <c r="L1048549" s="2"/>
    </row>
    <row r="1048550" customFormat="1" spans="7:12">
      <c r="G1048550" s="2"/>
      <c r="H1048550" s="2"/>
      <c r="L1048550" s="2"/>
    </row>
    <row r="1048551" customFormat="1" spans="7:12">
      <c r="G1048551" s="2"/>
      <c r="H1048551" s="2"/>
      <c r="L1048551" s="2"/>
    </row>
    <row r="1048552" customFormat="1" spans="7:12">
      <c r="G1048552" s="2"/>
      <c r="H1048552" s="2"/>
      <c r="L1048552" s="2"/>
    </row>
    <row r="1048553" customFormat="1" spans="7:12">
      <c r="G1048553" s="2"/>
      <c r="H1048553" s="2"/>
      <c r="L1048553" s="2"/>
    </row>
    <row r="1048554" customFormat="1" spans="7:12">
      <c r="G1048554" s="2"/>
      <c r="H1048554" s="2"/>
      <c r="L1048554" s="2"/>
    </row>
    <row r="1048555" customFormat="1" spans="7:12">
      <c r="G1048555" s="2"/>
      <c r="H1048555" s="2"/>
      <c r="L1048555" s="2"/>
    </row>
    <row r="1048556" customFormat="1" spans="7:12">
      <c r="G1048556" s="2"/>
      <c r="H1048556" s="2"/>
      <c r="L1048556" s="2"/>
    </row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</sheetData>
  <autoFilter xmlns:etc="http://www.wps.cn/officeDocument/2017/etCustomData" ref="A1:P6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2"/>
  <sheetViews>
    <sheetView workbookViewId="0">
      <selection activeCell="A1" sqref="A1:B12"/>
    </sheetView>
  </sheetViews>
  <sheetFormatPr defaultColWidth="9" defaultRowHeight="13.5" outlineLevelCol="1"/>
  <sheetData>
    <row r="1" spans="1:2">
      <c r="A1" s="1" t="s">
        <v>46</v>
      </c>
      <c r="B1" s="1" t="s">
        <v>47</v>
      </c>
    </row>
    <row r="2" spans="1:2">
      <c r="A2" t="s">
        <v>48</v>
      </c>
      <c r="B2">
        <v>0.0186451737276131</v>
      </c>
    </row>
    <row r="3" spans="1:2">
      <c r="A3" t="s">
        <v>49</v>
      </c>
      <c r="B3">
        <v>0.0237103302259982</v>
      </c>
    </row>
    <row r="4" spans="1:2">
      <c r="A4" t="s">
        <v>50</v>
      </c>
      <c r="B4">
        <v>0.354798648599992</v>
      </c>
    </row>
    <row r="5" spans="1:2">
      <c r="A5" t="s">
        <v>51</v>
      </c>
      <c r="B5">
        <v>0.00109574827447698</v>
      </c>
    </row>
    <row r="6" spans="1:2">
      <c r="A6" t="s">
        <v>52</v>
      </c>
      <c r="B6">
        <v>0.0494888200960208</v>
      </c>
    </row>
    <row r="7" spans="1:2">
      <c r="A7" t="s">
        <v>53</v>
      </c>
      <c r="B7">
        <v>0.00962151308990704</v>
      </c>
    </row>
    <row r="8" spans="1:2">
      <c r="A8" t="s">
        <v>54</v>
      </c>
      <c r="B8">
        <v>0.0680936730840355</v>
      </c>
    </row>
    <row r="9" spans="1:2">
      <c r="A9" t="s">
        <v>55</v>
      </c>
      <c r="B9">
        <v>0.0754229616751362</v>
      </c>
    </row>
    <row r="10" spans="1:2">
      <c r="A10" t="s">
        <v>56</v>
      </c>
      <c r="B10">
        <v>0.0238056921537797</v>
      </c>
    </row>
    <row r="11" spans="1:2">
      <c r="A11" t="s">
        <v>57</v>
      </c>
      <c r="B11">
        <v>0.021162586213541</v>
      </c>
    </row>
    <row r="12" spans="1:2">
      <c r="A12" t="s">
        <v>58</v>
      </c>
      <c r="B12">
        <v>0.3541548528595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621"/>
  <sheetViews>
    <sheetView workbookViewId="0">
      <selection activeCell="H15" sqref="H15"/>
    </sheetView>
  </sheetViews>
  <sheetFormatPr defaultColWidth="9" defaultRowHeight="13.5"/>
  <sheetData>
    <row r="1" spans="1:14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2</v>
      </c>
    </row>
    <row r="2" spans="1:14">
      <c r="A2" t="s">
        <v>16</v>
      </c>
      <c r="B2">
        <v>2003</v>
      </c>
      <c r="C2">
        <v>0.816403125</v>
      </c>
      <c r="D2">
        <v>0.84444386874888</v>
      </c>
      <c r="E2">
        <v>0.00251516877937622</v>
      </c>
      <c r="F2">
        <v>0.98275652511116</v>
      </c>
      <c r="G2">
        <v>0.964771453899219</v>
      </c>
      <c r="H2">
        <v>0.989527713400574</v>
      </c>
      <c r="I2">
        <v>0.262693156732892</v>
      </c>
      <c r="J2">
        <v>0.519957724413729</v>
      </c>
      <c r="K2">
        <v>0.694259437992189</v>
      </c>
      <c r="L2">
        <v>0.859550832773699</v>
      </c>
      <c r="M2">
        <v>0.242851076420241</v>
      </c>
      <c r="N2">
        <v>0.272308433849101</v>
      </c>
    </row>
    <row r="3" spans="1:14">
      <c r="A3" t="s">
        <v>16</v>
      </c>
      <c r="B3">
        <v>2004</v>
      </c>
      <c r="C3">
        <v>0.803504344050011</v>
      </c>
      <c r="D3">
        <v>0.806561422985223</v>
      </c>
      <c r="E3">
        <v>0.00359977211223477</v>
      </c>
      <c r="F3">
        <v>0.985756347521122</v>
      </c>
      <c r="G3">
        <v>0.981653202596511</v>
      </c>
      <c r="H3">
        <v>0.971529486068572</v>
      </c>
      <c r="I3">
        <v>0.182781456953642</v>
      </c>
      <c r="J3">
        <v>0.410679808020106</v>
      </c>
      <c r="K3">
        <v>0.609869553244609</v>
      </c>
      <c r="L3">
        <v>0.858924782065406</v>
      </c>
      <c r="M3">
        <v>0.227299846153458</v>
      </c>
      <c r="N3">
        <v>0.251006821633249</v>
      </c>
    </row>
    <row r="4" spans="1:14">
      <c r="A4" t="s">
        <v>16</v>
      </c>
      <c r="B4">
        <v>2005</v>
      </c>
      <c r="C4">
        <v>0.787934563068921</v>
      </c>
      <c r="D4">
        <v>0.777334094205677</v>
      </c>
      <c r="E4">
        <v>0</v>
      </c>
      <c r="F4">
        <v>0.985968915935829</v>
      </c>
      <c r="G4">
        <v>0.972003122109959</v>
      </c>
      <c r="H4">
        <v>0.94509099190598</v>
      </c>
      <c r="I4">
        <v>0.182781456953642</v>
      </c>
      <c r="J4">
        <v>0.410679808020106</v>
      </c>
      <c r="K4">
        <v>0.564215990326425</v>
      </c>
      <c r="L4">
        <v>0.830017618558215</v>
      </c>
      <c r="M4">
        <v>0.284169592309026</v>
      </c>
      <c r="N4">
        <v>0.266456751548398</v>
      </c>
    </row>
    <row r="5" spans="1:14">
      <c r="A5" t="s">
        <v>16</v>
      </c>
      <c r="B5">
        <v>2006</v>
      </c>
      <c r="C5">
        <v>0.781626939725172</v>
      </c>
      <c r="D5">
        <v>0.728614418764307</v>
      </c>
      <c r="E5">
        <v>0</v>
      </c>
      <c r="F5">
        <v>0.984395834982963</v>
      </c>
      <c r="G5">
        <v>0.976287509208351</v>
      </c>
      <c r="H5">
        <v>0.95376506441838</v>
      </c>
      <c r="I5">
        <v>0.166225165562914</v>
      </c>
      <c r="J5">
        <v>0.367950372375766</v>
      </c>
      <c r="K5">
        <v>0.542080964103641</v>
      </c>
      <c r="L5">
        <v>0.802180793782731</v>
      </c>
      <c r="M5">
        <v>0.263352553945293</v>
      </c>
      <c r="N5">
        <v>0.252639095222519</v>
      </c>
    </row>
    <row r="6" spans="1:14">
      <c r="A6" t="s">
        <v>16</v>
      </c>
      <c r="B6">
        <v>2007</v>
      </c>
      <c r="C6">
        <v>0.772490003281623</v>
      </c>
      <c r="D6">
        <v>0.70255814615069</v>
      </c>
      <c r="E6">
        <v>0</v>
      </c>
      <c r="F6">
        <v>0.983138441453773</v>
      </c>
      <c r="G6">
        <v>0.982367099358456</v>
      </c>
      <c r="H6">
        <v>0.905663389576888</v>
      </c>
      <c r="I6">
        <v>0.0920529801324504</v>
      </c>
      <c r="J6">
        <v>0.367145674906004</v>
      </c>
      <c r="K6">
        <v>0.489510160096669</v>
      </c>
      <c r="L6">
        <v>0.780069570717053</v>
      </c>
      <c r="M6">
        <v>0.211685002632447</v>
      </c>
      <c r="N6">
        <v>0.226558537402591</v>
      </c>
    </row>
    <row r="7" spans="1:14">
      <c r="A7" t="s">
        <v>16</v>
      </c>
      <c r="B7">
        <v>2008</v>
      </c>
      <c r="C7">
        <v>0.777363464426877</v>
      </c>
      <c r="D7">
        <v>0.633958947195404</v>
      </c>
      <c r="E7">
        <v>0</v>
      </c>
      <c r="F7">
        <v>0.978097123845231</v>
      </c>
      <c r="G7">
        <v>0.983794864592589</v>
      </c>
      <c r="H7">
        <v>0.925377190741434</v>
      </c>
      <c r="I7">
        <v>0.21037527593819</v>
      </c>
      <c r="J7">
        <v>0.38649864905377</v>
      </c>
      <c r="K7">
        <v>0.443856597178485</v>
      </c>
      <c r="L7">
        <v>0.744298301326836</v>
      </c>
      <c r="M7">
        <v>0.188716472203363</v>
      </c>
      <c r="N7">
        <v>0.22481611987462</v>
      </c>
    </row>
    <row r="8" spans="1:14">
      <c r="A8" t="s">
        <v>16</v>
      </c>
      <c r="B8">
        <v>2009</v>
      </c>
      <c r="C8">
        <v>0.772825045250896</v>
      </c>
      <c r="D8">
        <v>0.601181342585097</v>
      </c>
      <c r="E8">
        <v>0</v>
      </c>
      <c r="F8">
        <v>0.97676366689993</v>
      </c>
      <c r="G8">
        <v>0.975692296888884</v>
      </c>
      <c r="H8">
        <v>0.915914566182452</v>
      </c>
      <c r="I8">
        <v>0.19205298013245</v>
      </c>
      <c r="J8">
        <v>0.34545907809593</v>
      </c>
      <c r="K8">
        <v>0.388553531188958</v>
      </c>
      <c r="L8">
        <v>0.758943075953984</v>
      </c>
      <c r="M8">
        <v>0.163100045194849</v>
      </c>
      <c r="N8">
        <v>0.209039093211966</v>
      </c>
    </row>
    <row r="9" spans="1:14">
      <c r="A9" t="s">
        <v>16</v>
      </c>
      <c r="B9">
        <v>2010</v>
      </c>
      <c r="C9">
        <v>0.764019962623174</v>
      </c>
      <c r="D9">
        <v>0.59258697898081</v>
      </c>
      <c r="E9">
        <v>0</v>
      </c>
      <c r="F9">
        <v>0.978327207580325</v>
      </c>
      <c r="G9">
        <v>0.974056778593136</v>
      </c>
      <c r="H9">
        <v>0.940359679626489</v>
      </c>
      <c r="I9">
        <v>0.195364238410596</v>
      </c>
      <c r="J9">
        <v>0.31926617545519</v>
      </c>
      <c r="K9">
        <v>0.334564769020986</v>
      </c>
      <c r="L9">
        <v>0.755216944456856</v>
      </c>
      <c r="M9">
        <v>0.15200014578362</v>
      </c>
      <c r="N9">
        <v>0.201781869845764</v>
      </c>
    </row>
    <row r="10" spans="1:14">
      <c r="A10" t="s">
        <v>16</v>
      </c>
      <c r="B10">
        <v>2011</v>
      </c>
      <c r="C10">
        <v>0.767914235671937</v>
      </c>
      <c r="D10">
        <v>0.611534632558607</v>
      </c>
      <c r="E10">
        <v>0</v>
      </c>
      <c r="F10">
        <v>0.978721656942858</v>
      </c>
      <c r="G10">
        <v>0.969904748529095</v>
      </c>
      <c r="H10">
        <v>0.946668095999144</v>
      </c>
      <c r="I10">
        <v>0.213245033112583</v>
      </c>
      <c r="J10">
        <v>0.310334033540837</v>
      </c>
      <c r="K10">
        <v>0.285106707940254</v>
      </c>
      <c r="L10">
        <v>0.758578390743627</v>
      </c>
      <c r="M10">
        <v>0.0928241889324439</v>
      </c>
      <c r="N10">
        <v>0.180639565646104</v>
      </c>
    </row>
    <row r="11" spans="1:14">
      <c r="A11" t="s">
        <v>16</v>
      </c>
      <c r="B11">
        <v>2012</v>
      </c>
      <c r="C11">
        <v>0.759480961180622</v>
      </c>
      <c r="D11">
        <v>0.526441030933796</v>
      </c>
      <c r="E11">
        <v>0</v>
      </c>
      <c r="F11">
        <v>0.973680291209142</v>
      </c>
      <c r="G11">
        <v>0.965847538859809</v>
      </c>
      <c r="H11">
        <v>0.943513887812817</v>
      </c>
      <c r="I11">
        <v>0.196467991169978</v>
      </c>
      <c r="J11">
        <v>0.280962575894539</v>
      </c>
      <c r="K11">
        <v>0.264700914171094</v>
      </c>
      <c r="L11">
        <v>0.718677989938876</v>
      </c>
      <c r="M11">
        <v>0.0853295982846323</v>
      </c>
      <c r="N11">
        <v>0.170885961442423</v>
      </c>
    </row>
    <row r="12" spans="1:14">
      <c r="A12" t="s">
        <v>16</v>
      </c>
      <c r="B12">
        <v>2013</v>
      </c>
      <c r="C12">
        <v>0.754385098039216</v>
      </c>
      <c r="D12">
        <v>0.502996420400029</v>
      </c>
      <c r="E12">
        <v>0</v>
      </c>
      <c r="F12">
        <v>0.972476981656473</v>
      </c>
      <c r="G12">
        <v>0.979152768512342</v>
      </c>
      <c r="H12">
        <v>0.929319950974343</v>
      </c>
      <c r="I12">
        <v>0.233804635761589</v>
      </c>
      <c r="J12">
        <v>0.304946932683021</v>
      </c>
      <c r="K12">
        <v>0.279388668356817</v>
      </c>
      <c r="L12">
        <v>0.738062639359595</v>
      </c>
      <c r="M12">
        <v>0.0846085891239131</v>
      </c>
      <c r="N12">
        <v>0.175611536243912</v>
      </c>
    </row>
    <row r="13" spans="1:14">
      <c r="A13" t="s">
        <v>16</v>
      </c>
      <c r="B13">
        <v>2014</v>
      </c>
      <c r="C13">
        <v>0.75326961461692</v>
      </c>
      <c r="D13">
        <v>0.440218949226342</v>
      </c>
      <c r="E13">
        <v>0</v>
      </c>
      <c r="F13">
        <v>0.968953965978937</v>
      </c>
      <c r="G13">
        <v>0.972881650097355</v>
      </c>
      <c r="H13">
        <v>0.877275515899942</v>
      </c>
      <c r="I13">
        <v>0.266883738042671</v>
      </c>
      <c r="J13">
        <v>0.313529049080193</v>
      </c>
      <c r="K13">
        <v>0.267352360124343</v>
      </c>
      <c r="L13">
        <v>0.733304336540519</v>
      </c>
      <c r="M13">
        <v>0.0911242189751001</v>
      </c>
      <c r="N13">
        <v>0.178107383988619</v>
      </c>
    </row>
    <row r="14" spans="1:14">
      <c r="A14" t="s">
        <v>16</v>
      </c>
      <c r="B14">
        <v>2015</v>
      </c>
      <c r="C14">
        <v>0.751006246191347</v>
      </c>
      <c r="D14">
        <v>0.289858285125436</v>
      </c>
      <c r="E14">
        <v>0</v>
      </c>
      <c r="F14">
        <v>0.961122140447066</v>
      </c>
      <c r="G14">
        <v>0.978608066501975</v>
      </c>
      <c r="H14">
        <v>0.898566421157651</v>
      </c>
      <c r="I14">
        <v>0.308477924944812</v>
      </c>
      <c r="J14">
        <v>0.352915646259981</v>
      </c>
      <c r="K14">
        <v>0.308764176728262</v>
      </c>
      <c r="L14">
        <v>0.684618726226677</v>
      </c>
      <c r="M14">
        <v>0.1153003559356</v>
      </c>
      <c r="N14">
        <v>0.189300319232494</v>
      </c>
    </row>
    <row r="15" spans="1:14">
      <c r="A15" t="s">
        <v>16</v>
      </c>
      <c r="B15">
        <v>2016</v>
      </c>
      <c r="C15">
        <v>0.734350797266515</v>
      </c>
      <c r="D15">
        <v>0.219421563779892</v>
      </c>
      <c r="E15">
        <v>0</v>
      </c>
      <c r="F15">
        <v>0.95639141508423</v>
      </c>
      <c r="G15">
        <v>0.960983163087318</v>
      </c>
      <c r="H15">
        <v>0.882795380226014</v>
      </c>
      <c r="I15">
        <v>0.333041942604856</v>
      </c>
      <c r="J15">
        <v>0.33069328187454</v>
      </c>
      <c r="K15">
        <v>0.243279743659395</v>
      </c>
      <c r="L15">
        <v>0.683220139646751</v>
      </c>
      <c r="M15">
        <v>0.0172853429156912</v>
      </c>
      <c r="N15">
        <v>0.149986122108558</v>
      </c>
    </row>
    <row r="16" spans="1:14">
      <c r="A16" t="s">
        <v>16</v>
      </c>
      <c r="B16">
        <v>2017</v>
      </c>
      <c r="C16">
        <v>0.721983439683987</v>
      </c>
      <c r="D16">
        <v>0.209614678563299</v>
      </c>
      <c r="E16">
        <v>0</v>
      </c>
      <c r="F16">
        <v>0.955802022580406</v>
      </c>
      <c r="G16">
        <v>0.956824007883428</v>
      </c>
      <c r="H16">
        <v>0.763724021192156</v>
      </c>
      <c r="I16">
        <v>0.319153421633554</v>
      </c>
      <c r="J16">
        <v>0.316862825757127</v>
      </c>
      <c r="K16">
        <v>0.217055507054409</v>
      </c>
      <c r="L16">
        <v>0.681995767248819</v>
      </c>
      <c r="M16">
        <v>0.0111788407596816</v>
      </c>
      <c r="N16">
        <v>0.143369183210977</v>
      </c>
    </row>
    <row r="17" spans="1:14">
      <c r="A17" t="s">
        <v>16</v>
      </c>
      <c r="B17">
        <v>2018</v>
      </c>
      <c r="C17">
        <v>0.70217001216545</v>
      </c>
      <c r="D17">
        <v>0.0986437865192461</v>
      </c>
      <c r="E17">
        <v>0</v>
      </c>
      <c r="F17">
        <v>0.948052507617953</v>
      </c>
      <c r="G17">
        <v>0.964341483780575</v>
      </c>
      <c r="H17">
        <v>0.876168388826541</v>
      </c>
      <c r="I17">
        <v>0.206962251655629</v>
      </c>
      <c r="J17">
        <v>0.240849372663888</v>
      </c>
      <c r="K17">
        <v>0.167577005628462</v>
      </c>
      <c r="L17">
        <v>0.685410682055063</v>
      </c>
      <c r="M17">
        <v>0.00381178002135215</v>
      </c>
      <c r="N17">
        <v>0.124726675899793</v>
      </c>
    </row>
    <row r="18" spans="1:14">
      <c r="A18" t="s">
        <v>16</v>
      </c>
      <c r="B18">
        <v>2019</v>
      </c>
      <c r="C18">
        <v>0.695633181126332</v>
      </c>
      <c r="D18">
        <v>0.090402114378691</v>
      </c>
      <c r="E18">
        <v>0</v>
      </c>
      <c r="F18">
        <v>0.947870288966671</v>
      </c>
      <c r="G18">
        <v>0.960928399120744</v>
      </c>
      <c r="H18">
        <v>0.901294637757374</v>
      </c>
      <c r="I18">
        <v>0.19735055187638</v>
      </c>
      <c r="J18">
        <v>0.226122282390793</v>
      </c>
      <c r="K18">
        <v>0.116363150021136</v>
      </c>
      <c r="L18">
        <v>0.678963791318673</v>
      </c>
      <c r="M18">
        <v>0.00244646280932622</v>
      </c>
      <c r="N18">
        <v>0.120877621530136</v>
      </c>
    </row>
    <row r="19" spans="1:14">
      <c r="A19" t="s">
        <v>16</v>
      </c>
      <c r="B19">
        <v>2020</v>
      </c>
      <c r="C19">
        <v>0.702284148012792</v>
      </c>
      <c r="D19">
        <v>0.0765587948869477</v>
      </c>
      <c r="E19">
        <v>0</v>
      </c>
      <c r="F19">
        <v>0.951118668643928</v>
      </c>
      <c r="G19">
        <v>0.951722200765422</v>
      </c>
      <c r="H19">
        <v>0.917164763139765</v>
      </c>
      <c r="I19">
        <v>0.194260485651214</v>
      </c>
      <c r="J19">
        <v>0.221857546740551</v>
      </c>
      <c r="K19">
        <v>0.107680361144585</v>
      </c>
      <c r="L19">
        <v>0.664197056797262</v>
      </c>
      <c r="M19">
        <v>0.00178753234563806</v>
      </c>
      <c r="N19">
        <v>0.119089411952282</v>
      </c>
    </row>
    <row r="20" spans="1:14">
      <c r="A20" t="s">
        <v>16</v>
      </c>
      <c r="B20">
        <v>2021</v>
      </c>
      <c r="C20">
        <v>0.677996802192782</v>
      </c>
      <c r="D20">
        <v>0.0724572159302264</v>
      </c>
      <c r="E20">
        <v>0</v>
      </c>
      <c r="F20">
        <v>0.949738740494436</v>
      </c>
      <c r="G20">
        <v>0.949010593049294</v>
      </c>
      <c r="H20">
        <v>0.938953096847761</v>
      </c>
      <c r="I20">
        <v>0.205298013245033</v>
      </c>
      <c r="J20">
        <v>0.175989790964141</v>
      </c>
      <c r="K20">
        <v>0.0146911090308766</v>
      </c>
      <c r="L20">
        <v>0.693640378121365</v>
      </c>
      <c r="M20">
        <v>0.000974804104388691</v>
      </c>
      <c r="N20">
        <v>0.11402694627162</v>
      </c>
    </row>
    <row r="21" spans="1:14">
      <c r="A21" t="s">
        <v>16</v>
      </c>
      <c r="B21">
        <v>2022</v>
      </c>
      <c r="C21">
        <v>0.664695512820513</v>
      </c>
      <c r="D21">
        <v>0.0312305747629613</v>
      </c>
      <c r="E21">
        <v>0</v>
      </c>
      <c r="F21">
        <v>0.947411569279759</v>
      </c>
      <c r="G21">
        <v>0.9485492089864</v>
      </c>
      <c r="H21">
        <v>0.929042919257995</v>
      </c>
      <c r="I21">
        <v>0.201894922737307</v>
      </c>
      <c r="J21">
        <v>0.172515751047686</v>
      </c>
      <c r="K21">
        <v>0</v>
      </c>
      <c r="L21">
        <v>0.724419094139554</v>
      </c>
      <c r="M21">
        <v>0.000654496270017324</v>
      </c>
      <c r="N21">
        <v>0.112375145220512</v>
      </c>
    </row>
    <row r="22" spans="1:14">
      <c r="A22" t="s">
        <v>17</v>
      </c>
      <c r="B22">
        <v>2003</v>
      </c>
      <c r="C22">
        <v>0.827176854599407</v>
      </c>
      <c r="D22">
        <v>0.923245646694392</v>
      </c>
      <c r="E22">
        <v>0.0417319470160947</v>
      </c>
      <c r="F22">
        <v>0.995229891630718</v>
      </c>
      <c r="G22">
        <v>0.9997203104347</v>
      </c>
      <c r="H22">
        <v>0.984925960222337</v>
      </c>
      <c r="I22">
        <v>0.305298013245033</v>
      </c>
      <c r="J22">
        <v>0.634385704613825</v>
      </c>
      <c r="K22">
        <v>0.880678187827474</v>
      </c>
      <c r="L22">
        <v>0.95131682514569</v>
      </c>
      <c r="M22">
        <v>0.148293320576908</v>
      </c>
      <c r="N22">
        <v>0.274414120846759</v>
      </c>
    </row>
    <row r="23" spans="1:14">
      <c r="A23" t="s">
        <v>17</v>
      </c>
      <c r="B23">
        <v>2004</v>
      </c>
      <c r="C23">
        <v>0.810166471354167</v>
      </c>
      <c r="D23">
        <v>0.910755037812696</v>
      </c>
      <c r="E23">
        <v>0.021679960119641</v>
      </c>
      <c r="F23">
        <v>0.994005542705924</v>
      </c>
      <c r="G23">
        <v>1</v>
      </c>
      <c r="H23">
        <v>0.992064958465656</v>
      </c>
      <c r="I23">
        <v>0.320088300220751</v>
      </c>
      <c r="J23">
        <v>0.589081237066248</v>
      </c>
      <c r="K23">
        <v>0.849550758565075</v>
      </c>
      <c r="L23">
        <v>0.949107926718314</v>
      </c>
      <c r="M23">
        <v>0.130553465731311</v>
      </c>
      <c r="N23">
        <v>0.257287289037501</v>
      </c>
    </row>
    <row r="24" spans="1:14">
      <c r="A24" t="s">
        <v>17</v>
      </c>
      <c r="B24">
        <v>2005</v>
      </c>
      <c r="C24">
        <v>0.789067277404922</v>
      </c>
      <c r="D24">
        <v>0.907359332877004</v>
      </c>
      <c r="E24">
        <v>0.0213033755875232</v>
      </c>
      <c r="F24">
        <v>0.993480438050804</v>
      </c>
      <c r="G24">
        <v>0.999810684600544</v>
      </c>
      <c r="H24">
        <v>0.982941490141909</v>
      </c>
      <c r="I24">
        <v>0.320088300220751</v>
      </c>
      <c r="J24">
        <v>0.589081237066248</v>
      </c>
      <c r="K24">
        <v>0.794213141129066</v>
      </c>
      <c r="L24">
        <v>0.922906949165942</v>
      </c>
      <c r="M24">
        <v>0.118315582779435</v>
      </c>
      <c r="N24">
        <v>0.250376103616514</v>
      </c>
    </row>
    <row r="25" spans="1:14">
      <c r="A25" t="s">
        <v>17</v>
      </c>
      <c r="B25">
        <v>2006</v>
      </c>
      <c r="C25">
        <v>0.769392272403101</v>
      </c>
      <c r="D25">
        <v>0.88844168538998</v>
      </c>
      <c r="E25">
        <v>0.0111095285571856</v>
      </c>
      <c r="F25">
        <v>0.992470244469675</v>
      </c>
      <c r="G25">
        <v>1</v>
      </c>
      <c r="H25">
        <v>0.95770782465129</v>
      </c>
      <c r="I25">
        <v>0.309713024282561</v>
      </c>
      <c r="J25">
        <v>0.534603218363389</v>
      </c>
      <c r="K25">
        <v>0.773461521620801</v>
      </c>
      <c r="L25">
        <v>0.910727575575008</v>
      </c>
      <c r="M25">
        <v>0.105227494668872</v>
      </c>
      <c r="N25">
        <v>0.235507081152781</v>
      </c>
    </row>
    <row r="26" spans="1:14">
      <c r="A26" t="s">
        <v>17</v>
      </c>
      <c r="B26">
        <v>2007</v>
      </c>
      <c r="C26">
        <v>0.746256546935725</v>
      </c>
      <c r="D26">
        <v>0.863206123298693</v>
      </c>
      <c r="E26">
        <v>0</v>
      </c>
      <c r="F26">
        <v>0.992155861975427</v>
      </c>
      <c r="G26">
        <v>1</v>
      </c>
      <c r="H26">
        <v>0.921434430508525</v>
      </c>
      <c r="I26">
        <v>0.138852097130243</v>
      </c>
      <c r="J26">
        <v>0.505111056096627</v>
      </c>
      <c r="K26">
        <v>0.77173218540908</v>
      </c>
      <c r="L26">
        <v>0.885149023638232</v>
      </c>
      <c r="M26">
        <v>0.0922295611651346</v>
      </c>
      <c r="N26">
        <v>0.211141680957928</v>
      </c>
    </row>
    <row r="27" spans="1:14">
      <c r="A27" t="s">
        <v>17</v>
      </c>
      <c r="B27">
        <v>2008</v>
      </c>
      <c r="C27">
        <v>0.749223104166667</v>
      </c>
      <c r="D27">
        <v>0.846943309946312</v>
      </c>
      <c r="E27">
        <v>0</v>
      </c>
      <c r="F27">
        <v>0.990835748328695</v>
      </c>
      <c r="G27">
        <v>1</v>
      </c>
      <c r="H27">
        <v>0.90645194162347</v>
      </c>
      <c r="I27">
        <v>0.0832229580573951</v>
      </c>
      <c r="J27">
        <v>0.497426195260404</v>
      </c>
      <c r="K27">
        <v>0.761356375654947</v>
      </c>
      <c r="L27">
        <v>0.885344602782593</v>
      </c>
      <c r="M27">
        <v>0.131168317218272</v>
      </c>
      <c r="N27">
        <v>0.219845673206585</v>
      </c>
    </row>
    <row r="28" spans="1:14">
      <c r="A28" t="s">
        <v>17</v>
      </c>
      <c r="B28">
        <v>2009</v>
      </c>
      <c r="C28">
        <v>0.743887933224756</v>
      </c>
      <c r="D28">
        <v>0.842283410100581</v>
      </c>
      <c r="E28">
        <v>0</v>
      </c>
      <c r="F28">
        <v>0.989776209655078</v>
      </c>
      <c r="G28">
        <v>1</v>
      </c>
      <c r="H28">
        <v>0.882795380226014</v>
      </c>
      <c r="I28">
        <v>0.104415011037528</v>
      </c>
      <c r="J28">
        <v>0.477268523642877</v>
      </c>
      <c r="K28">
        <v>0.712901344103147</v>
      </c>
      <c r="L28">
        <v>0.876396026036314</v>
      </c>
      <c r="M28">
        <v>0.267976444818567</v>
      </c>
      <c r="N28">
        <v>0.266438012493224</v>
      </c>
    </row>
    <row r="29" spans="1:14">
      <c r="A29" t="s">
        <v>17</v>
      </c>
      <c r="B29">
        <v>2010</v>
      </c>
      <c r="C29">
        <v>0.715821375416988</v>
      </c>
      <c r="D29">
        <v>0.811325826835236</v>
      </c>
      <c r="E29">
        <v>0</v>
      </c>
      <c r="F29">
        <v>0.988506208027821</v>
      </c>
      <c r="G29">
        <v>1</v>
      </c>
      <c r="H29">
        <v>0.902509181390561</v>
      </c>
      <c r="I29">
        <v>0.106622516556291</v>
      </c>
      <c r="J29">
        <v>0.426813992288825</v>
      </c>
      <c r="K29">
        <v>0.709477326884283</v>
      </c>
      <c r="L29">
        <v>0.872528069188853</v>
      </c>
      <c r="M29">
        <v>0.0712489335097864</v>
      </c>
      <c r="N29">
        <v>0.191878494202006</v>
      </c>
    </row>
    <row r="30" spans="1:14">
      <c r="A30" t="s">
        <v>17</v>
      </c>
      <c r="B30">
        <v>2011</v>
      </c>
      <c r="C30">
        <v>0.703658145911012</v>
      </c>
      <c r="D30">
        <v>0.796591337575566</v>
      </c>
      <c r="E30">
        <v>0</v>
      </c>
      <c r="F30">
        <v>0.988958423613741</v>
      </c>
      <c r="G30">
        <v>0.998367590356594</v>
      </c>
      <c r="H30">
        <v>0.883583932272596</v>
      </c>
      <c r="I30">
        <v>0.105960264900662</v>
      </c>
      <c r="J30">
        <v>0.423353793168851</v>
      </c>
      <c r="K30">
        <v>0.534575725876087</v>
      </c>
      <c r="L30">
        <v>0.867961682998204</v>
      </c>
      <c r="M30">
        <v>0.0343515052909568</v>
      </c>
      <c r="N30">
        <v>0.173406201936551</v>
      </c>
    </row>
    <row r="31" spans="1:14">
      <c r="A31" t="s">
        <v>17</v>
      </c>
      <c r="B31">
        <v>2012</v>
      </c>
      <c r="C31">
        <v>0.70027558151911</v>
      </c>
      <c r="D31">
        <v>0.75137712596493</v>
      </c>
      <c r="E31">
        <v>0</v>
      </c>
      <c r="F31">
        <v>0.984356855101722</v>
      </c>
      <c r="G31">
        <v>0.991476430056153</v>
      </c>
      <c r="H31">
        <v>0.873332755667032</v>
      </c>
      <c r="I31">
        <v>0.10794701986755</v>
      </c>
      <c r="J31">
        <v>0.407621957635012</v>
      </c>
      <c r="K31">
        <v>0.490103033866021</v>
      </c>
      <c r="L31">
        <v>0.858996042760842</v>
      </c>
      <c r="M31">
        <v>0.0334291499239282</v>
      </c>
      <c r="N31">
        <v>0.169200028000253</v>
      </c>
    </row>
    <row r="32" spans="1:14">
      <c r="A32" t="s">
        <v>17</v>
      </c>
      <c r="B32">
        <v>2013</v>
      </c>
      <c r="C32">
        <v>0.686191489361702</v>
      </c>
      <c r="D32">
        <v>0.717474383103304</v>
      </c>
      <c r="E32">
        <v>0</v>
      </c>
      <c r="F32">
        <v>0.98315557826135</v>
      </c>
      <c r="G32">
        <v>0.989943044106456</v>
      </c>
      <c r="H32">
        <v>0.909606149809797</v>
      </c>
      <c r="I32">
        <v>0.179213171449603</v>
      </c>
      <c r="J32">
        <v>0.429020687336902</v>
      </c>
      <c r="K32">
        <v>0.507539685915938</v>
      </c>
      <c r="L32">
        <v>0.856332990750257</v>
      </c>
      <c r="M32">
        <v>0.0326704741809738</v>
      </c>
      <c r="N32">
        <v>0.174962161009501</v>
      </c>
    </row>
    <row r="33" spans="1:14">
      <c r="A33" t="s">
        <v>17</v>
      </c>
      <c r="B33">
        <v>2014</v>
      </c>
      <c r="C33">
        <v>0.682362957779333</v>
      </c>
      <c r="D33">
        <v>0.662739438833343</v>
      </c>
      <c r="E33">
        <v>0</v>
      </c>
      <c r="F33">
        <v>0.984823440301608</v>
      </c>
      <c r="G33">
        <v>0.988554461144031</v>
      </c>
      <c r="H33">
        <v>0.913548910042706</v>
      </c>
      <c r="I33">
        <v>0.21401113563894</v>
      </c>
      <c r="J33">
        <v>0.430739583719896</v>
      </c>
      <c r="K33">
        <v>0.500600863142862</v>
      </c>
      <c r="L33">
        <v>0.854530145246969</v>
      </c>
      <c r="M33">
        <v>0.0495361326432769</v>
      </c>
      <c r="N33">
        <v>0.181832921205585</v>
      </c>
    </row>
    <row r="34" spans="1:14">
      <c r="A34" t="s">
        <v>17</v>
      </c>
      <c r="B34">
        <v>2015</v>
      </c>
      <c r="C34">
        <v>0.681789437109104</v>
      </c>
      <c r="D34">
        <v>0.527447110995629</v>
      </c>
      <c r="E34">
        <v>0</v>
      </c>
      <c r="F34">
        <v>0.985923071294727</v>
      </c>
      <c r="G34">
        <v>0.988344975407898</v>
      </c>
      <c r="H34">
        <v>0.880429724086269</v>
      </c>
      <c r="I34">
        <v>0.321745474613687</v>
      </c>
      <c r="J34">
        <v>0.471818146740688</v>
      </c>
      <c r="K34">
        <v>0.542412990015773</v>
      </c>
      <c r="L34">
        <v>0.800228110194771</v>
      </c>
      <c r="M34">
        <v>0.0491918926666037</v>
      </c>
      <c r="N34">
        <v>0.188445157685064</v>
      </c>
    </row>
    <row r="35" spans="1:14">
      <c r="A35" t="s">
        <v>17</v>
      </c>
      <c r="B35">
        <v>2016</v>
      </c>
      <c r="C35">
        <v>0.67989835989836</v>
      </c>
      <c r="D35">
        <v>0.451426368458991</v>
      </c>
      <c r="E35">
        <v>0</v>
      </c>
      <c r="F35">
        <v>0.985079625019285</v>
      </c>
      <c r="G35">
        <v>0.984989993328886</v>
      </c>
      <c r="H35">
        <v>0.897777869111069</v>
      </c>
      <c r="I35">
        <v>0.28360706401766</v>
      </c>
      <c r="J35">
        <v>0.434177376485879</v>
      </c>
      <c r="K35">
        <v>0.486723217596709</v>
      </c>
      <c r="L35">
        <v>0.815926274984755</v>
      </c>
      <c r="M35">
        <v>0.0164908117157156</v>
      </c>
      <c r="N35">
        <v>0.168596649246985</v>
      </c>
    </row>
    <row r="36" spans="1:14">
      <c r="A36" t="s">
        <v>17</v>
      </c>
      <c r="B36">
        <v>2017</v>
      </c>
      <c r="C36">
        <v>0.673217494089835</v>
      </c>
      <c r="D36">
        <v>0.376048201589293</v>
      </c>
      <c r="E36">
        <v>0</v>
      </c>
      <c r="F36">
        <v>0.979728066802996</v>
      </c>
      <c r="G36">
        <v>0.979852340038773</v>
      </c>
      <c r="H36">
        <v>0.908029045716633</v>
      </c>
      <c r="I36">
        <v>0.264660927152318</v>
      </c>
      <c r="J36">
        <v>0.415420361284218</v>
      </c>
      <c r="K36">
        <v>0.424363044602909</v>
      </c>
      <c r="L36">
        <v>0.817118226600985</v>
      </c>
      <c r="M36">
        <v>0.0120996353758758</v>
      </c>
      <c r="N36">
        <v>0.160804073183619</v>
      </c>
    </row>
    <row r="37" spans="1:14">
      <c r="A37" t="s">
        <v>17</v>
      </c>
      <c r="B37">
        <v>2018</v>
      </c>
      <c r="C37">
        <v>0.644103398409255</v>
      </c>
      <c r="D37">
        <v>0.212310989057846</v>
      </c>
      <c r="E37">
        <v>0</v>
      </c>
      <c r="F37">
        <v>0.984308493835907</v>
      </c>
      <c r="G37">
        <v>0.976103471966385</v>
      </c>
      <c r="H37">
        <v>0.885817900220563</v>
      </c>
      <c r="I37">
        <v>0.201562030905077</v>
      </c>
      <c r="J37">
        <v>0.369811637623324</v>
      </c>
      <c r="K37">
        <v>0.387005979164129</v>
      </c>
      <c r="L37">
        <v>0.808880308880309</v>
      </c>
      <c r="M37">
        <v>0.00875927416511709</v>
      </c>
      <c r="N37">
        <v>0.146001527336182</v>
      </c>
    </row>
    <row r="38" spans="1:14">
      <c r="A38" t="s">
        <v>17</v>
      </c>
      <c r="B38">
        <v>2019</v>
      </c>
      <c r="C38">
        <v>0.637600481347774</v>
      </c>
      <c r="D38">
        <v>0.162745505483107</v>
      </c>
      <c r="E38">
        <v>0</v>
      </c>
      <c r="F38">
        <v>0.982090352798297</v>
      </c>
      <c r="G38">
        <v>0.961341240866868</v>
      </c>
      <c r="H38">
        <v>0.861738884680984</v>
      </c>
      <c r="I38">
        <v>0.183818322295806</v>
      </c>
      <c r="J38">
        <v>0.328633779405305</v>
      </c>
      <c r="K38">
        <v>0.316168665843104</v>
      </c>
      <c r="L38">
        <v>0.810103201178359</v>
      </c>
      <c r="M38">
        <v>0.00674930601267181</v>
      </c>
      <c r="N38">
        <v>0.13705411084685</v>
      </c>
    </row>
    <row r="39" spans="1:14">
      <c r="A39" t="s">
        <v>17</v>
      </c>
      <c r="B39">
        <v>2020</v>
      </c>
      <c r="C39">
        <v>0.639359528959385</v>
      </c>
      <c r="D39">
        <v>0.0981417224288262</v>
      </c>
      <c r="E39">
        <v>0</v>
      </c>
      <c r="F39">
        <v>0.978937552010814</v>
      </c>
      <c r="G39">
        <v>0.955621344129276</v>
      </c>
      <c r="H39">
        <v>0.886383399476601</v>
      </c>
      <c r="I39">
        <v>0.189845474613686</v>
      </c>
      <c r="J39">
        <v>0.33330814630253</v>
      </c>
      <c r="K39">
        <v>0.304820746473107</v>
      </c>
      <c r="L39">
        <v>0.805624503092943</v>
      </c>
      <c r="M39">
        <v>0.00154587583314835</v>
      </c>
      <c r="N39">
        <v>0.134060943046008</v>
      </c>
    </row>
    <row r="40" spans="1:14">
      <c r="A40" t="s">
        <v>17</v>
      </c>
      <c r="B40">
        <v>2021</v>
      </c>
      <c r="C40">
        <v>0.591131342558874</v>
      </c>
      <c r="D40">
        <v>0.0389674247291143</v>
      </c>
      <c r="E40">
        <v>0</v>
      </c>
      <c r="F40">
        <v>0.976391257861018</v>
      </c>
      <c r="G40">
        <v>0.952287779481854</v>
      </c>
      <c r="H40">
        <v>0.881875172653756</v>
      </c>
      <c r="I40">
        <v>0.209713024282561</v>
      </c>
      <c r="J40">
        <v>0.281807508237789</v>
      </c>
      <c r="K40">
        <v>0.208506981156077</v>
      </c>
      <c r="L40">
        <v>0.813626571270456</v>
      </c>
      <c r="M40">
        <v>0.00129200314789505</v>
      </c>
      <c r="N40">
        <v>0.126802679898752</v>
      </c>
    </row>
    <row r="41" spans="1:14">
      <c r="A41" t="s">
        <v>17</v>
      </c>
      <c r="B41">
        <v>2022</v>
      </c>
      <c r="C41">
        <v>0.584356810956224</v>
      </c>
      <c r="D41">
        <v>0</v>
      </c>
      <c r="E41">
        <v>0</v>
      </c>
      <c r="F41">
        <v>0.975616212403721</v>
      </c>
      <c r="G41">
        <v>0.95228068712475</v>
      </c>
      <c r="H41">
        <v>0.894559187457378</v>
      </c>
      <c r="I41">
        <v>0.203479911699779</v>
      </c>
      <c r="J41">
        <v>0.281072738978149</v>
      </c>
      <c r="K41">
        <v>0.185965326949029</v>
      </c>
      <c r="L41">
        <v>0.80903609273032</v>
      </c>
      <c r="M41">
        <v>0.000788434181442302</v>
      </c>
      <c r="N41">
        <v>0.124581314763079</v>
      </c>
    </row>
    <row r="42" spans="1:14">
      <c r="A42" t="s">
        <v>18</v>
      </c>
      <c r="B42">
        <v>2003</v>
      </c>
      <c r="C42">
        <v>0.907185453291968</v>
      </c>
      <c r="D42">
        <v>0.986925551628179</v>
      </c>
      <c r="E42">
        <v>0.103584959407492</v>
      </c>
      <c r="F42">
        <v>0.994586540322106</v>
      </c>
      <c r="G42">
        <v>0.995024347831184</v>
      </c>
      <c r="H42">
        <v>0.95553457521091</v>
      </c>
      <c r="I42">
        <v>0.410596026490066</v>
      </c>
      <c r="J42">
        <v>0.77504682232815</v>
      </c>
      <c r="K42">
        <v>0.969119618767848</v>
      </c>
      <c r="L42">
        <v>0.921105241521069</v>
      </c>
      <c r="M42">
        <v>0.172572688487158</v>
      </c>
      <c r="N42">
        <v>0.326689156443098</v>
      </c>
    </row>
    <row r="43" spans="1:14">
      <c r="A43" t="s">
        <v>18</v>
      </c>
      <c r="B43">
        <v>2004</v>
      </c>
      <c r="C43">
        <v>0.891577073676996</v>
      </c>
      <c r="D43">
        <v>0.98472620146448</v>
      </c>
      <c r="E43">
        <v>0.0955375302663438</v>
      </c>
      <c r="F43">
        <v>0.994354517381832</v>
      </c>
      <c r="G43">
        <v>0.99549626066081</v>
      </c>
      <c r="H43">
        <v>0.946134640539631</v>
      </c>
      <c r="I43">
        <v>0.446578366445916</v>
      </c>
      <c r="J43">
        <v>0.672367425186572</v>
      </c>
      <c r="K43">
        <v>0.967637330586372</v>
      </c>
      <c r="L43">
        <v>0.913157424882446</v>
      </c>
      <c r="M43">
        <v>0.160846377066483</v>
      </c>
      <c r="N43">
        <v>0.313772801878416</v>
      </c>
    </row>
    <row r="44" spans="1:14">
      <c r="A44" t="s">
        <v>18</v>
      </c>
      <c r="B44">
        <v>2005</v>
      </c>
      <c r="C44">
        <v>0.874675246436043</v>
      </c>
      <c r="D44">
        <v>0.985740319989187</v>
      </c>
      <c r="E44">
        <v>0.0826566016237003</v>
      </c>
      <c r="F44">
        <v>0.993048553835957</v>
      </c>
      <c r="G44">
        <v>0.997511018596842</v>
      </c>
      <c r="H44">
        <v>0.893046556831578</v>
      </c>
      <c r="I44">
        <v>0.446578366445916</v>
      </c>
      <c r="J44">
        <v>0.672367425186572</v>
      </c>
      <c r="K44">
        <v>0.960473145225436</v>
      </c>
      <c r="L44">
        <v>0.903496297430482</v>
      </c>
      <c r="M44">
        <v>0.160610827540598</v>
      </c>
      <c r="N44">
        <v>0.308040638835059</v>
      </c>
    </row>
    <row r="45" spans="1:14">
      <c r="A45" t="s">
        <v>18</v>
      </c>
      <c r="B45">
        <v>2006</v>
      </c>
      <c r="C45">
        <v>0.85622707644728</v>
      </c>
      <c r="D45">
        <v>0.995645877116746</v>
      </c>
      <c r="E45">
        <v>0.185728528699616</v>
      </c>
      <c r="F45">
        <v>0.992358177098064</v>
      </c>
      <c r="G45">
        <v>0.993150806903439</v>
      </c>
      <c r="H45">
        <v>0.840213569710595</v>
      </c>
      <c r="I45">
        <v>0.41280353200883</v>
      </c>
      <c r="J45">
        <v>0.651083177111378</v>
      </c>
      <c r="K45">
        <v>0.949356191380566</v>
      </c>
      <c r="L45">
        <v>0.89427832733813</v>
      </c>
      <c r="M45">
        <v>0.16398891964198</v>
      </c>
      <c r="N45">
        <v>0.340607913759915</v>
      </c>
    </row>
    <row r="46" spans="1:14">
      <c r="A46" t="s">
        <v>18</v>
      </c>
      <c r="B46">
        <v>2007</v>
      </c>
      <c r="C46">
        <v>0.8341998451918</v>
      </c>
      <c r="D46">
        <v>0.981449422533839</v>
      </c>
      <c r="E46">
        <v>0.0675117504628969</v>
      </c>
      <c r="F46">
        <v>0.994093325018358</v>
      </c>
      <c r="G46">
        <v>0.992096796811483</v>
      </c>
      <c r="H46">
        <v>0.852830402455904</v>
      </c>
      <c r="I46">
        <v>0.245253863134658</v>
      </c>
      <c r="J46">
        <v>0.647381568750475</v>
      </c>
      <c r="K46">
        <v>0.946885711078107</v>
      </c>
      <c r="L46">
        <v>0.886454275070094</v>
      </c>
      <c r="M46">
        <v>0.146633445329301</v>
      </c>
      <c r="N46">
        <v>0.279929416241994</v>
      </c>
    </row>
    <row r="47" spans="1:14">
      <c r="A47" t="s">
        <v>18</v>
      </c>
      <c r="B47">
        <v>2008</v>
      </c>
      <c r="C47">
        <v>0.828637424118854</v>
      </c>
      <c r="D47">
        <v>0.973741019226664</v>
      </c>
      <c r="E47">
        <v>0.0411622276029056</v>
      </c>
      <c r="F47">
        <v>0.99590378597716</v>
      </c>
      <c r="G47">
        <v>0.986874447633005</v>
      </c>
      <c r="H47">
        <v>0.826808184918703</v>
      </c>
      <c r="I47">
        <v>0.354083885209713</v>
      </c>
      <c r="J47">
        <v>0.66842440758474</v>
      </c>
      <c r="K47">
        <v>0.941169158694067</v>
      </c>
      <c r="L47">
        <v>0.876730831186178</v>
      </c>
      <c r="M47">
        <v>0.13683995342708</v>
      </c>
      <c r="N47">
        <v>0.274974799631178</v>
      </c>
    </row>
    <row r="48" spans="1:14">
      <c r="A48" t="s">
        <v>18</v>
      </c>
      <c r="B48">
        <v>2009</v>
      </c>
      <c r="C48">
        <v>0.809511084707611</v>
      </c>
      <c r="D48">
        <v>0.964882272170412</v>
      </c>
      <c r="E48">
        <v>0.0304799886056117</v>
      </c>
      <c r="F48">
        <v>0.994856361619614</v>
      </c>
      <c r="G48">
        <v>0.982414580241703</v>
      </c>
      <c r="H48">
        <v>0.889103796598669</v>
      </c>
      <c r="I48">
        <v>0.332891832229581</v>
      </c>
      <c r="J48">
        <v>0.659975084152244</v>
      </c>
      <c r="K48">
        <v>0.926643025038281</v>
      </c>
      <c r="L48">
        <v>0.867782671945407</v>
      </c>
      <c r="M48">
        <v>0.154239321207815</v>
      </c>
      <c r="N48">
        <v>0.274542196640354</v>
      </c>
    </row>
    <row r="49" spans="1:14">
      <c r="A49" t="s">
        <v>18</v>
      </c>
      <c r="B49">
        <v>2010</v>
      </c>
      <c r="C49">
        <v>0.786120063015476</v>
      </c>
      <c r="D49">
        <v>0.956217809657881</v>
      </c>
      <c r="E49">
        <v>0.0132459763566444</v>
      </c>
      <c r="F49">
        <v>0.995049729432242</v>
      </c>
      <c r="G49">
        <v>0.96847146764833</v>
      </c>
      <c r="H49">
        <v>0.762935469145574</v>
      </c>
      <c r="I49">
        <v>0.309492273730684</v>
      </c>
      <c r="J49">
        <v>0.636316978541253</v>
      </c>
      <c r="K49">
        <v>0.916499425906446</v>
      </c>
      <c r="L49">
        <v>0.863445253242507</v>
      </c>
      <c r="M49">
        <v>0.17153621467744</v>
      </c>
      <c r="N49">
        <v>0.268297065018174</v>
      </c>
    </row>
    <row r="50" spans="1:14">
      <c r="A50" t="s">
        <v>18</v>
      </c>
      <c r="B50">
        <v>2011</v>
      </c>
      <c r="C50">
        <v>0.764052780489492</v>
      </c>
      <c r="D50">
        <v>0.948337945752566</v>
      </c>
      <c r="E50">
        <v>0.00199401794616152</v>
      </c>
      <c r="F50">
        <v>0.991808773177169</v>
      </c>
      <c r="G50">
        <v>0.955970647098065</v>
      </c>
      <c r="H50">
        <v>0.723507866816482</v>
      </c>
      <c r="I50">
        <v>0.322075055187638</v>
      </c>
      <c r="J50">
        <v>0.584896810223488</v>
      </c>
      <c r="K50">
        <v>0.865114473196274</v>
      </c>
      <c r="L50">
        <v>0.854761404164017</v>
      </c>
      <c r="M50">
        <v>0.0674718796345889</v>
      </c>
      <c r="N50">
        <v>0.221421677652196</v>
      </c>
    </row>
    <row r="51" spans="1:14">
      <c r="A51" t="s">
        <v>18</v>
      </c>
      <c r="B51">
        <v>2012</v>
      </c>
      <c r="C51">
        <v>0.757720448017075</v>
      </c>
      <c r="D51">
        <v>0.933767092377191</v>
      </c>
      <c r="E51">
        <v>0.00299102691924218</v>
      </c>
      <c r="F51">
        <v>0.991500794868245</v>
      </c>
      <c r="G51">
        <v>0.940374757610428</v>
      </c>
      <c r="H51">
        <v>0.734547595468627</v>
      </c>
      <c r="I51">
        <v>0.324724061810154</v>
      </c>
      <c r="J51">
        <v>0.580913557748168</v>
      </c>
      <c r="K51">
        <v>0.847821422353354</v>
      </c>
      <c r="L51">
        <v>0.846355995583699</v>
      </c>
      <c r="M51">
        <v>0.0724793855200129</v>
      </c>
      <c r="N51">
        <v>0.221709758335878</v>
      </c>
    </row>
    <row r="52" spans="1:14">
      <c r="A52" t="s">
        <v>18</v>
      </c>
      <c r="B52">
        <v>2013</v>
      </c>
      <c r="C52">
        <v>0.74499336809367</v>
      </c>
      <c r="D52">
        <v>0.927697035018807</v>
      </c>
      <c r="E52">
        <v>0.0235009257940465</v>
      </c>
      <c r="F52">
        <v>0.991036386307523</v>
      </c>
      <c r="G52">
        <v>0.931186215834434</v>
      </c>
      <c r="H52">
        <v>0.714833794304081</v>
      </c>
      <c r="I52">
        <v>0.325303090507726</v>
      </c>
      <c r="J52">
        <v>0.562479172585385</v>
      </c>
      <c r="K52">
        <v>0.839020349245606</v>
      </c>
      <c r="L52">
        <v>0.837333451989352</v>
      </c>
      <c r="M52">
        <v>0.0786819270102168</v>
      </c>
      <c r="N52">
        <v>0.228405761937486</v>
      </c>
    </row>
    <row r="53" spans="1:14">
      <c r="A53" t="s">
        <v>18</v>
      </c>
      <c r="B53">
        <v>2014</v>
      </c>
      <c r="C53">
        <v>0.741294096226501</v>
      </c>
      <c r="D53">
        <v>0.920744693974794</v>
      </c>
      <c r="E53">
        <v>0.081754735792622</v>
      </c>
      <c r="F53">
        <v>0.99026167525873</v>
      </c>
      <c r="G53">
        <v>0.923154812678308</v>
      </c>
      <c r="H53">
        <v>0.683291712440808</v>
      </c>
      <c r="I53">
        <v>0.313809124356144</v>
      </c>
      <c r="J53">
        <v>0.542328197839021</v>
      </c>
      <c r="K53">
        <v>0.817587384896819</v>
      </c>
      <c r="L53">
        <v>0.8275950668037</v>
      </c>
      <c r="M53">
        <v>0.10007723825213</v>
      </c>
      <c r="N53">
        <v>0.252696947792302</v>
      </c>
    </row>
    <row r="54" spans="1:14">
      <c r="A54" t="s">
        <v>18</v>
      </c>
      <c r="B54">
        <v>2015</v>
      </c>
      <c r="C54">
        <v>0.752809621057409</v>
      </c>
      <c r="D54">
        <v>0.896636414378972</v>
      </c>
      <c r="E54">
        <v>0.0169491525423729</v>
      </c>
      <c r="F54">
        <v>0.989930284587174</v>
      </c>
      <c r="G54">
        <v>0.915197702423084</v>
      </c>
      <c r="H54">
        <v>0.598128091409968</v>
      </c>
      <c r="I54">
        <v>0.32646114790287</v>
      </c>
      <c r="J54">
        <v>0.525610402259816</v>
      </c>
      <c r="K54">
        <v>0.82141820303011</v>
      </c>
      <c r="L54">
        <v>0.816310525020627</v>
      </c>
      <c r="M54">
        <v>0.195263718105707</v>
      </c>
      <c r="N54">
        <v>0.261297310166375</v>
      </c>
    </row>
    <row r="55" spans="1:14">
      <c r="A55" t="s">
        <v>18</v>
      </c>
      <c r="B55">
        <v>2016</v>
      </c>
      <c r="C55">
        <v>0.746916384180791</v>
      </c>
      <c r="D55">
        <v>0.900810539523212</v>
      </c>
      <c r="E55">
        <v>0.0159521435692922</v>
      </c>
      <c r="F55">
        <v>0.989621566134394</v>
      </c>
      <c r="G55">
        <v>0.886838937320626</v>
      </c>
      <c r="H55">
        <v>0.609167820062114</v>
      </c>
      <c r="I55">
        <v>0.29082119205298</v>
      </c>
      <c r="J55">
        <v>0.502026248346296</v>
      </c>
      <c r="K55">
        <v>0.774721456199245</v>
      </c>
      <c r="L55">
        <v>0.8000348020903</v>
      </c>
      <c r="M55">
        <v>0.0542646191803053</v>
      </c>
      <c r="N55">
        <v>0.20403785884028</v>
      </c>
    </row>
    <row r="56" spans="1:14">
      <c r="A56" t="s">
        <v>18</v>
      </c>
      <c r="B56">
        <v>2017</v>
      </c>
      <c r="C56">
        <v>0.734420749538849</v>
      </c>
      <c r="D56">
        <v>0.865127590337838</v>
      </c>
      <c r="E56">
        <v>0.0173764421022646</v>
      </c>
      <c r="F56">
        <v>0.987420789445453</v>
      </c>
      <c r="G56">
        <v>0.864041841468519</v>
      </c>
      <c r="H56">
        <v>0.643864110111715</v>
      </c>
      <c r="I56">
        <v>0.291216777041943</v>
      </c>
      <c r="J56">
        <v>0.492320349579894</v>
      </c>
      <c r="K56">
        <v>0.750510437960855</v>
      </c>
      <c r="L56">
        <v>0.788096538845254</v>
      </c>
      <c r="M56">
        <v>0.0560066655442084</v>
      </c>
      <c r="N56">
        <v>0.201750216989752</v>
      </c>
    </row>
    <row r="57" spans="1:14">
      <c r="A57" t="s">
        <v>18</v>
      </c>
      <c r="B57">
        <v>2018</v>
      </c>
      <c r="C57">
        <v>0.717784810126583</v>
      </c>
      <c r="D57">
        <v>0.819147257119261</v>
      </c>
      <c r="E57">
        <v>0.010307648483122</v>
      </c>
      <c r="F57">
        <v>0.987555939055404</v>
      </c>
      <c r="G57">
        <v>0.847045500732099</v>
      </c>
      <c r="H57">
        <v>0.519626158068652</v>
      </c>
      <c r="I57">
        <v>0.279471964679912</v>
      </c>
      <c r="J57">
        <v>0.491645771690992</v>
      </c>
      <c r="K57">
        <v>0.712535596809314</v>
      </c>
      <c r="L57">
        <v>0.785300299633169</v>
      </c>
      <c r="M57">
        <v>0.0499597758435542</v>
      </c>
      <c r="N57">
        <v>0.191850137421271</v>
      </c>
    </row>
    <row r="58" spans="1:14">
      <c r="A58" t="s">
        <v>18</v>
      </c>
      <c r="B58">
        <v>2019</v>
      </c>
      <c r="C58">
        <v>0.703995344881608</v>
      </c>
      <c r="D58">
        <v>0.776842889248809</v>
      </c>
      <c r="E58">
        <v>0.00772439823386992</v>
      </c>
      <c r="F58">
        <v>0.986349981467327</v>
      </c>
      <c r="G58">
        <v>0.823228186069318</v>
      </c>
      <c r="H58">
        <v>0.628839985678601</v>
      </c>
      <c r="I58">
        <v>0.237301766004415</v>
      </c>
      <c r="J58">
        <v>0.469824870873215</v>
      </c>
      <c r="K58">
        <v>0.670772858790832</v>
      </c>
      <c r="L58">
        <v>0.792959415622458</v>
      </c>
      <c r="M58">
        <v>0.0371981159034871</v>
      </c>
      <c r="N58">
        <v>0.179675207592776</v>
      </c>
    </row>
    <row r="59" spans="1:14">
      <c r="A59" t="s">
        <v>18</v>
      </c>
      <c r="B59">
        <v>2020</v>
      </c>
      <c r="C59">
        <v>0.698695516255806</v>
      </c>
      <c r="D59">
        <v>0.779126843562609</v>
      </c>
      <c r="E59">
        <v>0.00398803589232305</v>
      </c>
      <c r="F59">
        <v>0.98560524440953</v>
      </c>
      <c r="G59">
        <v>0.79850743732947</v>
      </c>
      <c r="H59">
        <v>0.721004321311663</v>
      </c>
      <c r="I59">
        <v>0.205298013245033</v>
      </c>
      <c r="J59">
        <v>0.458036254115575</v>
      </c>
      <c r="K59">
        <v>0.646184887384074</v>
      </c>
      <c r="L59">
        <v>0.791247577201901</v>
      </c>
      <c r="M59">
        <v>0.0267168211668956</v>
      </c>
      <c r="N59">
        <v>0.170565484530065</v>
      </c>
    </row>
    <row r="60" spans="1:14">
      <c r="A60" t="s">
        <v>18</v>
      </c>
      <c r="B60">
        <v>2021</v>
      </c>
      <c r="C60">
        <v>0.670416666666667</v>
      </c>
      <c r="D60">
        <v>0.754514213646232</v>
      </c>
      <c r="E60">
        <v>0.00304799886056115</v>
      </c>
      <c r="F60">
        <v>0.986248044399699</v>
      </c>
      <c r="G60">
        <v>0.735021786374174</v>
      </c>
      <c r="H60">
        <v>0.767867064623861</v>
      </c>
      <c r="I60">
        <v>0.189845474613686</v>
      </c>
      <c r="J60">
        <v>0.407742662255476</v>
      </c>
      <c r="K60">
        <v>0.554441873779934</v>
      </c>
      <c r="L60">
        <v>0.788419318844461</v>
      </c>
      <c r="M60">
        <v>0.0297317153559964</v>
      </c>
      <c r="N60">
        <v>0.160409256343723</v>
      </c>
    </row>
    <row r="61" spans="1:14">
      <c r="A61" t="s">
        <v>18</v>
      </c>
      <c r="B61">
        <v>2022</v>
      </c>
      <c r="C61">
        <v>0.665320754716981</v>
      </c>
      <c r="D61">
        <v>0.729156950593026</v>
      </c>
      <c r="E61">
        <v>0.00646631533969511</v>
      </c>
      <c r="F61">
        <v>0.986577757353729</v>
      </c>
      <c r="G61">
        <v>0.768060574399443</v>
      </c>
      <c r="H61">
        <v>0.828815612509203</v>
      </c>
      <c r="I61">
        <v>0.19681169977925</v>
      </c>
      <c r="J61">
        <v>0.412767313961288</v>
      </c>
      <c r="K61">
        <v>0.543044565555507</v>
      </c>
      <c r="L61">
        <v>0.76664312536915</v>
      </c>
      <c r="M61">
        <v>0.0150463424168471</v>
      </c>
      <c r="N61">
        <v>0.158067928834093</v>
      </c>
    </row>
    <row r="62" spans="1:14">
      <c r="A62" t="s">
        <v>19</v>
      </c>
      <c r="B62">
        <v>2003</v>
      </c>
      <c r="C62">
        <v>0.874902635284651</v>
      </c>
      <c r="D62">
        <v>0.99193684410989</v>
      </c>
      <c r="E62">
        <v>0.566615012106538</v>
      </c>
      <c r="F62">
        <v>0.995197058298654</v>
      </c>
      <c r="G62">
        <v>0.980268947538284</v>
      </c>
      <c r="H62">
        <v>0.974406912486549</v>
      </c>
      <c r="I62">
        <v>0.73598233995585</v>
      </c>
      <c r="J62">
        <v>0.92689323487216</v>
      </c>
      <c r="K62">
        <v>0.978754284431243</v>
      </c>
      <c r="L62">
        <v>0.972969047764683</v>
      </c>
      <c r="M62">
        <v>0.512069711362994</v>
      </c>
      <c r="N62">
        <v>0.645111421862536</v>
      </c>
    </row>
    <row r="63" spans="1:14">
      <c r="A63" t="s">
        <v>19</v>
      </c>
      <c r="B63">
        <v>2004</v>
      </c>
      <c r="C63">
        <v>0.857210077061469</v>
      </c>
      <c r="D63">
        <v>0.990513338061208</v>
      </c>
      <c r="E63">
        <v>0.446846603047999</v>
      </c>
      <c r="F63">
        <v>0.990694009207932</v>
      </c>
      <c r="G63">
        <v>0.98098921473494</v>
      </c>
      <c r="H63">
        <v>0.972239025200086</v>
      </c>
      <c r="I63">
        <v>0.55673289183223</v>
      </c>
      <c r="J63">
        <v>0.895670973045411</v>
      </c>
      <c r="K63">
        <v>0.976283907886881</v>
      </c>
      <c r="L63">
        <v>0.970234144434308</v>
      </c>
      <c r="M63">
        <v>0.496449465444052</v>
      </c>
      <c r="N63">
        <v>0.582054670848607</v>
      </c>
    </row>
    <row r="64" spans="1:14">
      <c r="A64" t="s">
        <v>19</v>
      </c>
      <c r="B64">
        <v>2005</v>
      </c>
      <c r="C64">
        <v>0.838753058917039</v>
      </c>
      <c r="D64">
        <v>0.989677853051776</v>
      </c>
      <c r="E64">
        <v>0.451593790058396</v>
      </c>
      <c r="F64">
        <v>0.991629243465354</v>
      </c>
      <c r="G64">
        <v>0.983568684541747</v>
      </c>
      <c r="H64">
        <v>0.944302439859398</v>
      </c>
      <c r="I64">
        <v>0.55673289183223</v>
      </c>
      <c r="J64">
        <v>0.895670973045411</v>
      </c>
      <c r="K64">
        <v>0.97331933152393</v>
      </c>
      <c r="L64">
        <v>0.96856420998261</v>
      </c>
      <c r="M64">
        <v>0.484294539208995</v>
      </c>
      <c r="N64">
        <v>0.578824269889909</v>
      </c>
    </row>
    <row r="65" spans="1:14">
      <c r="A65" t="s">
        <v>19</v>
      </c>
      <c r="B65">
        <v>2006</v>
      </c>
      <c r="C65">
        <v>0.81407247145679</v>
      </c>
      <c r="D65">
        <v>0.980934848273619</v>
      </c>
      <c r="E65">
        <v>0.362341546788207</v>
      </c>
      <c r="F65">
        <v>0.971463256804532</v>
      </c>
      <c r="G65">
        <v>0.984917861361484</v>
      </c>
      <c r="H65">
        <v>0.908029045716633</v>
      </c>
      <c r="I65">
        <v>0.522737306843267</v>
      </c>
      <c r="J65">
        <v>0.88416379922782</v>
      </c>
      <c r="K65">
        <v>0.960473145225436</v>
      </c>
      <c r="L65">
        <v>0.802111266140044</v>
      </c>
      <c r="M65">
        <v>0.458572209932395</v>
      </c>
      <c r="N65">
        <v>0.530065024357569</v>
      </c>
    </row>
    <row r="66" spans="1:14">
      <c r="A66" t="s">
        <v>19</v>
      </c>
      <c r="B66">
        <v>2007</v>
      </c>
      <c r="C66">
        <v>0.772746662491404</v>
      </c>
      <c r="D66">
        <v>0.978232340293194</v>
      </c>
      <c r="E66">
        <v>0.291981199259365</v>
      </c>
      <c r="F66">
        <v>0.984648555701378</v>
      </c>
      <c r="G66">
        <v>0.985777897791251</v>
      </c>
      <c r="H66">
        <v>0.829173841058449</v>
      </c>
      <c r="I66">
        <v>0.495364238410596</v>
      </c>
      <c r="J66">
        <v>0.883721215619451</v>
      </c>
      <c r="K66">
        <v>0.938239237535695</v>
      </c>
      <c r="L66">
        <v>0.79800587424441</v>
      </c>
      <c r="M66">
        <v>0.406130820326636</v>
      </c>
      <c r="N66">
        <v>0.482479106836862</v>
      </c>
    </row>
    <row r="67" spans="1:14">
      <c r="A67" t="s">
        <v>19</v>
      </c>
      <c r="B67">
        <v>2008</v>
      </c>
      <c r="C67">
        <v>0.779724196667644</v>
      </c>
      <c r="D67">
        <v>0.979318607928368</v>
      </c>
      <c r="E67">
        <v>0.247258225324028</v>
      </c>
      <c r="F67">
        <v>0.987823684915394</v>
      </c>
      <c r="G67">
        <v>0.986553185513</v>
      </c>
      <c r="H67">
        <v>0.822076872639212</v>
      </c>
      <c r="I67">
        <v>0.590286975717439</v>
      </c>
      <c r="J67">
        <v>0.865897166664232</v>
      </c>
      <c r="K67">
        <v>0.9515449684482</v>
      </c>
      <c r="L67">
        <v>0.781558818878963</v>
      </c>
      <c r="M67">
        <v>0.376854150905618</v>
      </c>
      <c r="N67">
        <v>0.461460383503885</v>
      </c>
    </row>
    <row r="68" spans="1:14">
      <c r="A68" t="s">
        <v>19</v>
      </c>
      <c r="B68">
        <v>2009</v>
      </c>
      <c r="C68">
        <v>0.788558799338586</v>
      </c>
      <c r="D68">
        <v>0.957083738662529</v>
      </c>
      <c r="E68">
        <v>0.180885913687509</v>
      </c>
      <c r="F68">
        <v>0.98878997658136</v>
      </c>
      <c r="G68">
        <v>0.987712042945876</v>
      </c>
      <c r="H68">
        <v>0.811825696033648</v>
      </c>
      <c r="I68">
        <v>0.55916114790287</v>
      </c>
      <c r="J68">
        <v>0.864086597357269</v>
      </c>
      <c r="K68">
        <v>0.952063758935907</v>
      </c>
      <c r="L68">
        <v>0.776277149153565</v>
      </c>
      <c r="M68">
        <v>0.388598100686802</v>
      </c>
      <c r="N68">
        <v>0.439312603848468</v>
      </c>
    </row>
    <row r="69" spans="1:14">
      <c r="A69" t="s">
        <v>19</v>
      </c>
      <c r="B69">
        <v>2010</v>
      </c>
      <c r="C69">
        <v>0.766470807685134</v>
      </c>
      <c r="D69">
        <v>0.91348101073626</v>
      </c>
      <c r="E69">
        <v>0.143284432417035</v>
      </c>
      <c r="F69">
        <v>0.987228591829815</v>
      </c>
      <c r="G69">
        <v>0.97999596197558</v>
      </c>
      <c r="H69">
        <v>0.815768456266558</v>
      </c>
      <c r="I69">
        <v>0.488079470198675</v>
      </c>
      <c r="J69">
        <v>0.859580291526604</v>
      </c>
      <c r="K69">
        <v>0.946638663047861</v>
      </c>
      <c r="L69">
        <v>0.779958723997031</v>
      </c>
      <c r="M69">
        <v>0.146744096129138</v>
      </c>
      <c r="N69">
        <v>0.333295246909339</v>
      </c>
    </row>
    <row r="70" spans="1:14">
      <c r="A70" t="s">
        <v>19</v>
      </c>
      <c r="B70">
        <v>2011</v>
      </c>
      <c r="C70">
        <v>0.73512511898746</v>
      </c>
      <c r="D70">
        <v>0.904187415504661</v>
      </c>
      <c r="E70">
        <v>0.0764848312206239</v>
      </c>
      <c r="F70">
        <v>0.986514793705416</v>
      </c>
      <c r="G70">
        <v>0.979508523315885</v>
      </c>
      <c r="H70">
        <v>0.800785967381503</v>
      </c>
      <c r="I70">
        <v>0.468653421633554</v>
      </c>
      <c r="J70">
        <v>0.81777625797249</v>
      </c>
      <c r="K70">
        <v>0.946144566987369</v>
      </c>
      <c r="L70">
        <v>0.771467198245239</v>
      </c>
      <c r="M70">
        <v>0.151127289015079</v>
      </c>
      <c r="N70">
        <v>0.305506068600531</v>
      </c>
    </row>
    <row r="71" spans="1:14">
      <c r="A71" t="s">
        <v>19</v>
      </c>
      <c r="B71">
        <v>2012</v>
      </c>
      <c r="C71">
        <v>0.71549029735062</v>
      </c>
      <c r="D71">
        <v>0.887360839301552</v>
      </c>
      <c r="E71">
        <v>0.0686511892892749</v>
      </c>
      <c r="F71">
        <v>0.985779495004878</v>
      </c>
      <c r="G71">
        <v>0.968026021292301</v>
      </c>
      <c r="H71">
        <v>0.760569813005828</v>
      </c>
      <c r="I71">
        <v>0.452317880794702</v>
      </c>
      <c r="J71">
        <v>0.806188614407923</v>
      </c>
      <c r="K71">
        <v>0.93675694935422</v>
      </c>
      <c r="L71">
        <v>0.762040049489072</v>
      </c>
      <c r="M71">
        <v>0.15520752140579</v>
      </c>
      <c r="N71">
        <v>0.300041374400089</v>
      </c>
    </row>
    <row r="72" spans="1:14">
      <c r="A72" t="s">
        <v>19</v>
      </c>
      <c r="B72">
        <v>2013</v>
      </c>
      <c r="C72">
        <v>0.70373597359736</v>
      </c>
      <c r="D72">
        <v>0.863725156571939</v>
      </c>
      <c r="E72">
        <v>0.055547642785928</v>
      </c>
      <c r="F72">
        <v>0.988205894117137</v>
      </c>
      <c r="G72">
        <v>0.962641761174116</v>
      </c>
      <c r="H72">
        <v>0.751107188446846</v>
      </c>
      <c r="I72">
        <v>0.44071221486387</v>
      </c>
      <c r="J72">
        <v>0.819692323117739</v>
      </c>
      <c r="K72">
        <v>0.933446651010261</v>
      </c>
      <c r="L72">
        <v>0.751006466306975</v>
      </c>
      <c r="M72">
        <v>0.166639347064997</v>
      </c>
      <c r="N72">
        <v>0.298222386552289</v>
      </c>
    </row>
    <row r="73" spans="1:14">
      <c r="A73" t="s">
        <v>19</v>
      </c>
      <c r="B73">
        <v>2014</v>
      </c>
      <c r="C73">
        <v>0.704606481481482</v>
      </c>
      <c r="D73">
        <v>0.847670420112838</v>
      </c>
      <c r="E73">
        <v>0.0602478279447373</v>
      </c>
      <c r="F73">
        <v>0.991638359499821</v>
      </c>
      <c r="G73">
        <v>0.957217032315906</v>
      </c>
      <c r="H73">
        <v>0.616264788481351</v>
      </c>
      <c r="I73">
        <v>0.418465979887172</v>
      </c>
      <c r="J73">
        <v>0.826701345372359</v>
      </c>
      <c r="K73">
        <v>0.924726059600173</v>
      </c>
      <c r="L73">
        <v>0.740771934030231</v>
      </c>
      <c r="M73">
        <v>0.189783065905877</v>
      </c>
      <c r="N73">
        <v>0.304749568153123</v>
      </c>
    </row>
    <row r="74" spans="1:14">
      <c r="A74" t="s">
        <v>19</v>
      </c>
      <c r="B74">
        <v>2015</v>
      </c>
      <c r="C74">
        <v>0.717821824381927</v>
      </c>
      <c r="D74">
        <v>0.803026289798737</v>
      </c>
      <c r="E74">
        <v>0.0383136305369605</v>
      </c>
      <c r="F74">
        <v>0.989273059211665</v>
      </c>
      <c r="G74">
        <v>0.943796474817155</v>
      </c>
      <c r="H74">
        <v>0.561066145220621</v>
      </c>
      <c r="I74">
        <v>0.417500883002208</v>
      </c>
      <c r="J74">
        <v>0.846699740537371</v>
      </c>
      <c r="K74">
        <v>0.926826054322344</v>
      </c>
      <c r="L74">
        <v>0.730727054820131</v>
      </c>
      <c r="M74">
        <v>0.321244754353901</v>
      </c>
      <c r="N74">
        <v>0.342795198383415</v>
      </c>
    </row>
    <row r="75" spans="1:14">
      <c r="A75" t="s">
        <v>19</v>
      </c>
      <c r="B75">
        <v>2016</v>
      </c>
      <c r="C75">
        <v>0.707659362549801</v>
      </c>
      <c r="D75">
        <v>0.789301723916308</v>
      </c>
      <c r="E75">
        <v>0.0296254094858282</v>
      </c>
      <c r="F75">
        <v>0.989337153206257</v>
      </c>
      <c r="G75">
        <v>0.919500296095445</v>
      </c>
      <c r="H75">
        <v>0.707736825884845</v>
      </c>
      <c r="I75">
        <v>0.373973509933775</v>
      </c>
      <c r="J75">
        <v>0.840719389881597</v>
      </c>
      <c r="K75">
        <v>0.907284876779996</v>
      </c>
      <c r="L75">
        <v>0.721583965469816</v>
      </c>
      <c r="M75">
        <v>0.0628414343219313</v>
      </c>
      <c r="N75">
        <v>0.243818142399014</v>
      </c>
    </row>
    <row r="76" spans="1:14">
      <c r="A76" t="s">
        <v>19</v>
      </c>
      <c r="B76">
        <v>2017</v>
      </c>
      <c r="C76">
        <v>0.675729819563153</v>
      </c>
      <c r="D76">
        <v>0.77267863909175</v>
      </c>
      <c r="E76">
        <v>0.0236433556473436</v>
      </c>
      <c r="F76">
        <v>0.987730254373203</v>
      </c>
      <c r="G76">
        <v>0.904853416377368</v>
      </c>
      <c r="H76">
        <v>0.845733434036668</v>
      </c>
      <c r="I76">
        <v>0.359140176600441</v>
      </c>
      <c r="J76">
        <v>0.83146307559155</v>
      </c>
      <c r="K76">
        <v>0.900498889684598</v>
      </c>
      <c r="L76">
        <v>0.792724271079646</v>
      </c>
      <c r="M76">
        <v>0.0660479339037242</v>
      </c>
      <c r="N76">
        <v>0.242078736024268</v>
      </c>
    </row>
    <row r="77" spans="1:14">
      <c r="A77" t="s">
        <v>19</v>
      </c>
      <c r="B77">
        <v>2018</v>
      </c>
      <c r="C77">
        <v>0.647238244812488</v>
      </c>
      <c r="D77">
        <v>0.771945695845429</v>
      </c>
      <c r="E77">
        <v>0.0242773109243697</v>
      </c>
      <c r="F77">
        <v>0.985454230581333</v>
      </c>
      <c r="G77">
        <v>0.886906469598039</v>
      </c>
      <c r="H77">
        <v>0.81435379389499</v>
      </c>
      <c r="I77">
        <v>0.344416556291391</v>
      </c>
      <c r="J77">
        <v>0.801554884732921</v>
      </c>
      <c r="K77">
        <v>0.852935140190678</v>
      </c>
      <c r="L77">
        <v>0.787098019207068</v>
      </c>
      <c r="M77">
        <v>0.0624254217739105</v>
      </c>
      <c r="N77">
        <v>0.234769833034865</v>
      </c>
    </row>
    <row r="78" spans="1:14">
      <c r="A78" t="s">
        <v>19</v>
      </c>
      <c r="B78">
        <v>2019</v>
      </c>
      <c r="C78">
        <v>0.630223048327138</v>
      </c>
      <c r="D78">
        <v>0.722287996271405</v>
      </c>
      <c r="E78">
        <v>0.0509088448938897</v>
      </c>
      <c r="F78">
        <v>0.985302022891528</v>
      </c>
      <c r="G78">
        <v>0.876646937696142</v>
      </c>
      <c r="H78">
        <v>0.843525868388325</v>
      </c>
      <c r="I78">
        <v>0.31351412803532</v>
      </c>
      <c r="J78">
        <v>0.795980222306528</v>
      </c>
      <c r="K78">
        <v>0.823616629600816</v>
      </c>
      <c r="L78">
        <v>0.889986807768388</v>
      </c>
      <c r="M78">
        <v>0.0462761823146063</v>
      </c>
      <c r="N78">
        <v>0.235732190633088</v>
      </c>
    </row>
    <row r="79" spans="1:14">
      <c r="A79" t="s">
        <v>19</v>
      </c>
      <c r="B79">
        <v>2020</v>
      </c>
      <c r="C79">
        <v>0.616377268385864</v>
      </c>
      <c r="D79">
        <v>0.713921317584207</v>
      </c>
      <c r="E79">
        <v>0.0185158809286426</v>
      </c>
      <c r="F79">
        <v>0.990208482100968</v>
      </c>
      <c r="G79">
        <v>0.861174017828282</v>
      </c>
      <c r="H79">
        <v>0.815587219711312</v>
      </c>
      <c r="I79">
        <v>0.298013245033113</v>
      </c>
      <c r="J79">
        <v>0.79641154015032</v>
      </c>
      <c r="K79">
        <v>0.81946091027809</v>
      </c>
      <c r="L79">
        <v>0.952860254391506</v>
      </c>
      <c r="M79">
        <v>0.0560264457516664</v>
      </c>
      <c r="N79">
        <v>0.226415262011914</v>
      </c>
    </row>
    <row r="80" spans="1:14">
      <c r="A80" t="s">
        <v>19</v>
      </c>
      <c r="B80">
        <v>2021</v>
      </c>
      <c r="C80">
        <v>0.571578544061303</v>
      </c>
      <c r="D80">
        <v>0.702871445002092</v>
      </c>
      <c r="E80">
        <v>0.0298846318188293</v>
      </c>
      <c r="F80">
        <v>0.989156655792731</v>
      </c>
      <c r="G80">
        <v>0.818249897537729</v>
      </c>
      <c r="H80">
        <v>0.86161961555089</v>
      </c>
      <c r="I80">
        <v>0.311258278145695</v>
      </c>
      <c r="J80">
        <v>0.797216237620081</v>
      </c>
      <c r="K80">
        <v>0.734361008869035</v>
      </c>
      <c r="L80">
        <v>0.963793032457661</v>
      </c>
      <c r="M80">
        <v>0.0636755540558835</v>
      </c>
      <c r="N80">
        <v>0.229546156284048</v>
      </c>
    </row>
    <row r="81" spans="1:14">
      <c r="A81" t="s">
        <v>19</v>
      </c>
      <c r="B81">
        <v>2022</v>
      </c>
      <c r="C81">
        <v>0.553144211433496</v>
      </c>
      <c r="D81">
        <v>0.694604957112585</v>
      </c>
      <c r="E81">
        <v>0.0347600056971941</v>
      </c>
      <c r="F81">
        <v>0.989614479490676</v>
      </c>
      <c r="G81">
        <v>0.822347178642103</v>
      </c>
      <c r="H81">
        <v>0.818886018646088</v>
      </c>
      <c r="I81">
        <v>0.304734437086093</v>
      </c>
      <c r="J81">
        <v>0.796040413677266</v>
      </c>
      <c r="K81">
        <v>0.728802791341843</v>
      </c>
      <c r="L81">
        <v>0.967894915712279</v>
      </c>
      <c r="M81">
        <v>0.0555760273097468</v>
      </c>
      <c r="N81">
        <v>0.227081415375517</v>
      </c>
    </row>
    <row r="82" spans="1:14">
      <c r="A82" t="s">
        <v>20</v>
      </c>
      <c r="B82">
        <v>2003</v>
      </c>
      <c r="C82">
        <v>0.900224280525287</v>
      </c>
      <c r="D82">
        <v>0.990861450262457</v>
      </c>
      <c r="E82">
        <v>0.590966671414328</v>
      </c>
      <c r="F82">
        <v>0.999954151260504</v>
      </c>
      <c r="G82">
        <v>0.98723882753281</v>
      </c>
      <c r="H82">
        <v>0.935688297302538</v>
      </c>
      <c r="I82">
        <v>0.73598233995585</v>
      </c>
      <c r="J82">
        <v>0.987889303080088</v>
      </c>
      <c r="K82">
        <v>0.995466912476517</v>
      </c>
      <c r="L82">
        <v>0.992238447776666</v>
      </c>
      <c r="M82">
        <v>0.324176789688393</v>
      </c>
      <c r="N82">
        <v>0.593038558361304</v>
      </c>
    </row>
    <row r="83" spans="1:14">
      <c r="A83" t="s">
        <v>20</v>
      </c>
      <c r="B83">
        <v>2004</v>
      </c>
      <c r="C83">
        <v>0.873284959116869</v>
      </c>
      <c r="D83">
        <v>0.980257728391204</v>
      </c>
      <c r="E83">
        <v>0.529937900583962</v>
      </c>
      <c r="F83">
        <v>0.996034859713214</v>
      </c>
      <c r="G83">
        <v>0.987334727198541</v>
      </c>
      <c r="H83">
        <v>0.863027957522301</v>
      </c>
      <c r="I83">
        <v>0.591390728476821</v>
      </c>
      <c r="J83">
        <v>0.969260556655108</v>
      </c>
      <c r="K83">
        <v>0.992444750369431</v>
      </c>
      <c r="L83">
        <v>0.992013688559953</v>
      </c>
      <c r="M83">
        <v>0.311559011729485</v>
      </c>
      <c r="N83">
        <v>0.554137118270132</v>
      </c>
    </row>
    <row r="84" spans="1:14">
      <c r="A84" t="s">
        <v>20</v>
      </c>
      <c r="B84">
        <v>2005</v>
      </c>
      <c r="C84">
        <v>0.841151437716743</v>
      </c>
      <c r="D84">
        <v>0.971755264879586</v>
      </c>
      <c r="E84">
        <v>0.453212220481413</v>
      </c>
      <c r="F84">
        <v>0.992591722081856</v>
      </c>
      <c r="G84">
        <v>0.985708265159491</v>
      </c>
      <c r="H84">
        <v>0.762146917098992</v>
      </c>
      <c r="I84">
        <v>0.591390728476821</v>
      </c>
      <c r="J84">
        <v>0.969260556655108</v>
      </c>
      <c r="K84">
        <v>0.98388221712793</v>
      </c>
      <c r="L84">
        <v>0.990699233925929</v>
      </c>
      <c r="M84">
        <v>0.342358587429463</v>
      </c>
      <c r="N84">
        <v>0.535735491510174</v>
      </c>
    </row>
    <row r="85" spans="1:14">
      <c r="A85" t="s">
        <v>20</v>
      </c>
      <c r="B85">
        <v>2006</v>
      </c>
      <c r="C85">
        <v>0.790528953140097</v>
      </c>
      <c r="D85">
        <v>0.936366353120267</v>
      </c>
      <c r="E85">
        <v>0.412619285002136</v>
      </c>
      <c r="F85">
        <v>0.993444973219521</v>
      </c>
      <c r="G85">
        <v>0.986572969550322</v>
      </c>
      <c r="H85">
        <v>0.774763749844302</v>
      </c>
      <c r="I85">
        <v>0.562693156732892</v>
      </c>
      <c r="J85">
        <v>0.963627674366777</v>
      </c>
      <c r="K85">
        <v>0.982874829758901</v>
      </c>
      <c r="L85">
        <v>0.988020090839771</v>
      </c>
      <c r="M85">
        <v>0.368335842669744</v>
      </c>
      <c r="N85">
        <v>0.526455666349321</v>
      </c>
    </row>
    <row r="86" spans="1:14">
      <c r="A86" t="s">
        <v>20</v>
      </c>
      <c r="B86">
        <v>2007</v>
      </c>
      <c r="C86">
        <v>0.726943287223823</v>
      </c>
      <c r="D86">
        <v>0.883356130059822</v>
      </c>
      <c r="E86">
        <v>0.347528842045293</v>
      </c>
      <c r="F86">
        <v>0.992035416411887</v>
      </c>
      <c r="G86">
        <v>0.98414243375365</v>
      </c>
      <c r="H86">
        <v>0.736913251608373</v>
      </c>
      <c r="I86">
        <v>0.380794701986755</v>
      </c>
      <c r="J86">
        <v>0.962822976897015</v>
      </c>
      <c r="K86">
        <v>0.982371187953436</v>
      </c>
      <c r="L86">
        <v>0.980759617857206</v>
      </c>
      <c r="M86">
        <v>0.366212869513147</v>
      </c>
      <c r="N86">
        <v>0.487068873785774</v>
      </c>
    </row>
    <row r="87" spans="1:14">
      <c r="A87" t="s">
        <v>20</v>
      </c>
      <c r="B87">
        <v>2008</v>
      </c>
      <c r="C87">
        <v>0.714500029732679</v>
      </c>
      <c r="D87">
        <v>0.866480974326802</v>
      </c>
      <c r="E87">
        <v>0.366756872240422</v>
      </c>
      <c r="F87">
        <v>0.991056864163558</v>
      </c>
      <c r="G87">
        <v>0.976163009985915</v>
      </c>
      <c r="H87">
        <v>0.738490355701537</v>
      </c>
      <c r="I87">
        <v>0.468653421633554</v>
      </c>
      <c r="J87">
        <v>0.968938677667203</v>
      </c>
      <c r="K87">
        <v>0.976861944248284</v>
      </c>
      <c r="L87">
        <v>0.965336979810825</v>
      </c>
      <c r="M87">
        <v>0.363965245518589</v>
      </c>
      <c r="N87">
        <v>0.498068386300968</v>
      </c>
    </row>
    <row r="88" spans="1:14">
      <c r="A88" t="s">
        <v>20</v>
      </c>
      <c r="B88">
        <v>2009</v>
      </c>
      <c r="C88">
        <v>0.70046210957418</v>
      </c>
      <c r="D88">
        <v>0.807406620688036</v>
      </c>
      <c r="E88">
        <v>0.348810710724968</v>
      </c>
      <c r="F88">
        <v>0.989957560693033</v>
      </c>
      <c r="G88">
        <v>0.948854792083611</v>
      </c>
      <c r="H88">
        <v>0.66278935922968</v>
      </c>
      <c r="I88">
        <v>0.388520971302428</v>
      </c>
      <c r="J88">
        <v>0.958839724421695</v>
      </c>
      <c r="K88">
        <v>0.971777797468759</v>
      </c>
      <c r="L88">
        <v>0.966765552000072</v>
      </c>
      <c r="M88">
        <v>0.407913188289858</v>
      </c>
      <c r="N88">
        <v>0.497213058398462</v>
      </c>
    </row>
    <row r="89" spans="1:14">
      <c r="A89" t="s">
        <v>20</v>
      </c>
      <c r="B89">
        <v>2010</v>
      </c>
      <c r="C89">
        <v>0.644597700916937</v>
      </c>
      <c r="D89">
        <v>0.804151430367671</v>
      </c>
      <c r="E89">
        <v>0.295399515738499</v>
      </c>
      <c r="F89">
        <v>0.989516695024402</v>
      </c>
      <c r="G89">
        <v>0.925719710576282</v>
      </c>
      <c r="H89">
        <v>0.582357050478331</v>
      </c>
      <c r="I89">
        <v>0.369757174392936</v>
      </c>
      <c r="J89">
        <v>0.957632678217053</v>
      </c>
      <c r="K89">
        <v>0.958194513645331</v>
      </c>
      <c r="L89">
        <v>0.957728674203494</v>
      </c>
      <c r="M89">
        <v>0.418083092648142</v>
      </c>
      <c r="N89">
        <v>0.476943146829973</v>
      </c>
    </row>
    <row r="90" spans="1:14">
      <c r="A90" t="s">
        <v>20</v>
      </c>
      <c r="B90">
        <v>2011</v>
      </c>
      <c r="C90">
        <v>0.568572216126856</v>
      </c>
      <c r="D90">
        <v>0.823407180996297</v>
      </c>
      <c r="E90">
        <v>0.253097849309215</v>
      </c>
      <c r="F90">
        <v>0.982695239144939</v>
      </c>
      <c r="G90">
        <v>0.921478752980456</v>
      </c>
      <c r="H90">
        <v>0.65017252648437</v>
      </c>
      <c r="I90">
        <v>0.301545253863135</v>
      </c>
      <c r="J90">
        <v>0.943832116610642</v>
      </c>
      <c r="K90">
        <v>0.92495166429026</v>
      </c>
      <c r="L90">
        <v>0.950516925896472</v>
      </c>
      <c r="M90">
        <v>0.331448211791796</v>
      </c>
      <c r="N90">
        <v>0.424096926274274</v>
      </c>
    </row>
    <row r="91" spans="1:14">
      <c r="A91" t="s">
        <v>20</v>
      </c>
      <c r="B91">
        <v>2012</v>
      </c>
      <c r="C91">
        <v>0.532096123106061</v>
      </c>
      <c r="D91">
        <v>0.836009785357071</v>
      </c>
      <c r="E91">
        <v>0.222333000997009</v>
      </c>
      <c r="F91">
        <v>0.98733231844755</v>
      </c>
      <c r="G91">
        <v>0.905738594469678</v>
      </c>
      <c r="H91">
        <v>0.7140452422575</v>
      </c>
      <c r="I91">
        <v>0.279690949227373</v>
      </c>
      <c r="J91">
        <v>0.937072657864644</v>
      </c>
      <c r="K91">
        <v>0.920922218572243</v>
      </c>
      <c r="L91">
        <v>0.943617175945655</v>
      </c>
      <c r="M91">
        <v>0.299346967578927</v>
      </c>
      <c r="N91">
        <v>0.399032269866659</v>
      </c>
    </row>
    <row r="92" spans="1:14">
      <c r="A92" t="s">
        <v>20</v>
      </c>
      <c r="B92">
        <v>2013</v>
      </c>
      <c r="C92">
        <v>0.491903598099118</v>
      </c>
      <c r="D92">
        <v>0.810741368471892</v>
      </c>
      <c r="E92">
        <v>0.171912832929782</v>
      </c>
      <c r="F92">
        <v>0.991118554471883</v>
      </c>
      <c r="G92">
        <v>0.886758621121413</v>
      </c>
      <c r="H92">
        <v>0.644652662158297</v>
      </c>
      <c r="I92">
        <v>0.316025827814569</v>
      </c>
      <c r="J92">
        <v>0.941766216796523</v>
      </c>
      <c r="K92">
        <v>0.90544182169337</v>
      </c>
      <c r="L92">
        <v>0.935711471390839</v>
      </c>
      <c r="M92">
        <v>0.256107619353355</v>
      </c>
      <c r="N92">
        <v>0.365170859645843</v>
      </c>
    </row>
    <row r="93" spans="1:14">
      <c r="A93" t="s">
        <v>20</v>
      </c>
      <c r="B93">
        <v>2014</v>
      </c>
      <c r="C93">
        <v>0.435803048863482</v>
      </c>
      <c r="D93">
        <v>0.805869601860386</v>
      </c>
      <c r="E93">
        <v>0.109955846745478</v>
      </c>
      <c r="F93">
        <v>0.991450194580356</v>
      </c>
      <c r="G93">
        <v>0.884408823701685</v>
      </c>
      <c r="H93">
        <v>0.408875600230325</v>
      </c>
      <c r="I93">
        <v>0.321599264164828</v>
      </c>
      <c r="J93">
        <v>0.944037287642182</v>
      </c>
      <c r="K93">
        <v>0.889475629401808</v>
      </c>
      <c r="L93">
        <v>0.931778307180914</v>
      </c>
      <c r="M93">
        <v>0.305068819140553</v>
      </c>
      <c r="N93">
        <v>0.357069962562495</v>
      </c>
    </row>
    <row r="94" spans="1:14">
      <c r="A94" t="s">
        <v>20</v>
      </c>
      <c r="B94">
        <v>2015</v>
      </c>
      <c r="C94">
        <v>0.40420150273224</v>
      </c>
      <c r="D94">
        <v>0.828677050980109</v>
      </c>
      <c r="E94">
        <v>0.0841760432986753</v>
      </c>
      <c r="F94">
        <v>0.990339429322975</v>
      </c>
      <c r="G94">
        <v>0.87220641783961</v>
      </c>
      <c r="H94">
        <v>0.542140896102657</v>
      </c>
      <c r="I94">
        <v>0.388695584988963</v>
      </c>
      <c r="J94">
        <v>0.95115333466028</v>
      </c>
      <c r="K94">
        <v>0.874481027935623</v>
      </c>
      <c r="L94">
        <v>0.926632037998945</v>
      </c>
      <c r="M94">
        <v>0.358088301837724</v>
      </c>
      <c r="N94">
        <v>0.371968783110518</v>
      </c>
    </row>
    <row r="95" spans="1:14">
      <c r="A95" t="s">
        <v>20</v>
      </c>
      <c r="B95">
        <v>2016</v>
      </c>
      <c r="C95">
        <v>0.388673371647509</v>
      </c>
      <c r="D95">
        <v>0.854414993726474</v>
      </c>
      <c r="E95">
        <v>0.072639225181598</v>
      </c>
      <c r="F95">
        <v>0.989914487417861</v>
      </c>
      <c r="G95">
        <v>0.854333268592563</v>
      </c>
      <c r="H95">
        <v>0.354465509016178</v>
      </c>
      <c r="I95">
        <v>0.332746136865342</v>
      </c>
      <c r="J95">
        <v>0.9485794293335</v>
      </c>
      <c r="K95">
        <v>0.857543244818684</v>
      </c>
      <c r="L95">
        <v>0.919697297895188</v>
      </c>
      <c r="M95">
        <v>0.112053625731413</v>
      </c>
      <c r="N95">
        <v>0.27381727596974</v>
      </c>
    </row>
    <row r="96" spans="1:14">
      <c r="A96" t="s">
        <v>20</v>
      </c>
      <c r="B96">
        <v>2017</v>
      </c>
      <c r="C96">
        <v>0.320484997944924</v>
      </c>
      <c r="D96">
        <v>0.825767907396262</v>
      </c>
      <c r="E96">
        <v>0.0568295114656031</v>
      </c>
      <c r="F96">
        <v>0.988677694761426</v>
      </c>
      <c r="G96">
        <v>0.844380883216901</v>
      </c>
      <c r="H96">
        <v>0.567374561593276</v>
      </c>
      <c r="I96">
        <v>0.303351655629139</v>
      </c>
      <c r="J96">
        <v>0.944260054725061</v>
      </c>
      <c r="K96">
        <v>0.838693096205961</v>
      </c>
      <c r="L96">
        <v>0.919405839191265</v>
      </c>
      <c r="M96">
        <v>0.118043679013776</v>
      </c>
      <c r="N96">
        <v>0.267151154533924</v>
      </c>
    </row>
    <row r="97" spans="1:14">
      <c r="A97" t="s">
        <v>20</v>
      </c>
      <c r="B97">
        <v>2018</v>
      </c>
      <c r="C97">
        <v>0.208588631984583</v>
      </c>
      <c r="D97">
        <v>0.784773289233884</v>
      </c>
      <c r="E97">
        <v>0.0745987751032616</v>
      </c>
      <c r="F97">
        <v>0.987746765398135</v>
      </c>
      <c r="G97">
        <v>0.838653674544268</v>
      </c>
      <c r="H97">
        <v>0.640023861644862</v>
      </c>
      <c r="I97">
        <v>0.180855187637969</v>
      </c>
      <c r="J97">
        <v>0.916709989566695</v>
      </c>
      <c r="K97">
        <v>0.839443059734989</v>
      </c>
      <c r="L97">
        <v>0.913728144943412</v>
      </c>
      <c r="M97">
        <v>0.114403944800065</v>
      </c>
      <c r="N97">
        <v>0.259001412687821</v>
      </c>
    </row>
    <row r="98" spans="1:14">
      <c r="A98" t="s">
        <v>20</v>
      </c>
      <c r="B98">
        <v>2019</v>
      </c>
      <c r="C98">
        <v>0.135280193236716</v>
      </c>
      <c r="D98">
        <v>0.76215278048375</v>
      </c>
      <c r="E98">
        <v>0.0598628400512746</v>
      </c>
      <c r="F98">
        <v>0.987118806248281</v>
      </c>
      <c r="G98">
        <v>0.837169009756275</v>
      </c>
      <c r="H98">
        <v>0.600604176378317</v>
      </c>
      <c r="I98">
        <v>0.122250110375276</v>
      </c>
      <c r="J98">
        <v>0.913149525141988</v>
      </c>
      <c r="K98">
        <v>0.824511335675915</v>
      </c>
      <c r="L98">
        <v>0.909934909215485</v>
      </c>
      <c r="M98">
        <v>0.10487564704177</v>
      </c>
      <c r="N98">
        <v>0.243347091786448</v>
      </c>
    </row>
    <row r="99" spans="1:14">
      <c r="A99" t="s">
        <v>20</v>
      </c>
      <c r="B99">
        <v>2020</v>
      </c>
      <c r="C99">
        <v>0.0722014148980471</v>
      </c>
      <c r="D99">
        <v>0.689085514186313</v>
      </c>
      <c r="E99">
        <v>0.0390257798034467</v>
      </c>
      <c r="F99">
        <v>0.988001335478305</v>
      </c>
      <c r="G99">
        <v>0.829449687482344</v>
      </c>
      <c r="H99">
        <v>0.591707007414824</v>
      </c>
      <c r="I99">
        <v>0.108167770419426</v>
      </c>
      <c r="J99">
        <v>0.910678580856464</v>
      </c>
      <c r="K99">
        <v>0.790408642966519</v>
      </c>
      <c r="L99">
        <v>0.918836761576654</v>
      </c>
      <c r="M99">
        <v>0.107004176501079</v>
      </c>
      <c r="N99">
        <v>0.231564002689314</v>
      </c>
    </row>
    <row r="100" spans="1:14">
      <c r="A100" t="s">
        <v>20</v>
      </c>
      <c r="B100">
        <v>2021</v>
      </c>
      <c r="C100">
        <v>0.0574645833333339</v>
      </c>
      <c r="D100">
        <v>0.652801259933083</v>
      </c>
      <c r="E100">
        <v>0.0304529269334852</v>
      </c>
      <c r="F100">
        <v>0.986630897303283</v>
      </c>
      <c r="G100">
        <v>0.793373064017165</v>
      </c>
      <c r="H100">
        <v>0.540042764910902</v>
      </c>
      <c r="I100">
        <v>0.0242825607064016</v>
      </c>
      <c r="J100">
        <v>0.899412816279802</v>
      </c>
      <c r="K100">
        <v>0.783252654495288</v>
      </c>
      <c r="L100">
        <v>0.876116481837934</v>
      </c>
      <c r="M100">
        <v>0.144966568348048</v>
      </c>
      <c r="N100">
        <v>0.230911695332628</v>
      </c>
    </row>
    <row r="101" spans="1:14">
      <c r="A101" t="s">
        <v>20</v>
      </c>
      <c r="B101">
        <v>2022</v>
      </c>
      <c r="C101">
        <v>0</v>
      </c>
      <c r="D101">
        <v>0.596854510118902</v>
      </c>
      <c r="E101">
        <v>0.0290870246403645</v>
      </c>
      <c r="F101">
        <v>0.985916839871922</v>
      </c>
      <c r="G101">
        <v>0.799179845387121</v>
      </c>
      <c r="H101">
        <v>0.538647830363296</v>
      </c>
      <c r="I101">
        <v>0.0151770419426047</v>
      </c>
      <c r="J101">
        <v>0.901350970370597</v>
      </c>
      <c r="K101">
        <v>0.775245745866122</v>
      </c>
      <c r="L101">
        <v>0.914176124049605</v>
      </c>
      <c r="M101">
        <v>0.117830908571164</v>
      </c>
      <c r="N101">
        <v>0.218833046908508</v>
      </c>
    </row>
    <row r="102" spans="1:14">
      <c r="A102" t="s">
        <v>21</v>
      </c>
      <c r="B102">
        <v>2003</v>
      </c>
      <c r="C102">
        <v>0.876716892319874</v>
      </c>
      <c r="D102">
        <v>0.952219017574813</v>
      </c>
      <c r="E102">
        <v>0.205813132032474</v>
      </c>
      <c r="F102">
        <v>0.997414660051973</v>
      </c>
      <c r="G102">
        <v>0.968583311273457</v>
      </c>
      <c r="H102">
        <v>0.955703956190516</v>
      </c>
      <c r="I102">
        <v>0.557395143487859</v>
      </c>
      <c r="J102">
        <v>0.954896706819863</v>
      </c>
      <c r="K102">
        <v>0.970903843013168</v>
      </c>
      <c r="L102">
        <v>0.967881235019617</v>
      </c>
      <c r="M102">
        <v>0.226662914943807</v>
      </c>
      <c r="N102">
        <v>0.404014365757911</v>
      </c>
    </row>
    <row r="103" spans="1:14">
      <c r="A103" t="s">
        <v>21</v>
      </c>
      <c r="B103">
        <v>2004</v>
      </c>
      <c r="C103">
        <v>0.861756169472769</v>
      </c>
      <c r="D103">
        <v>0.959927556919192</v>
      </c>
      <c r="E103">
        <v>0.182859136875089</v>
      </c>
      <c r="F103">
        <v>0.997453577833523</v>
      </c>
      <c r="G103">
        <v>0.952522599475658</v>
      </c>
      <c r="H103">
        <v>0.953809223332989</v>
      </c>
      <c r="I103">
        <v>0.532229580573951</v>
      </c>
      <c r="J103">
        <v>0.942504365785535</v>
      </c>
      <c r="K103">
        <v>0.96706095435453</v>
      </c>
      <c r="L103">
        <v>0.962388820531662</v>
      </c>
      <c r="M103">
        <v>0.221913028779236</v>
      </c>
      <c r="N103">
        <v>0.390422938571111</v>
      </c>
    </row>
    <row r="104" spans="1:14">
      <c r="A104" t="s">
        <v>21</v>
      </c>
      <c r="B104">
        <v>2005</v>
      </c>
      <c r="C104">
        <v>0.849592956053068</v>
      </c>
      <c r="D104">
        <v>0.962497755739436</v>
      </c>
      <c r="E104">
        <v>0.169398661159379</v>
      </c>
      <c r="F104">
        <v>0.997472035139558</v>
      </c>
      <c r="G104">
        <v>0.933365489113008</v>
      </c>
      <c r="H104">
        <v>0.944302439859398</v>
      </c>
      <c r="I104">
        <v>0.532229580573951</v>
      </c>
      <c r="J104">
        <v>0.942504365785535</v>
      </c>
      <c r="K104">
        <v>0.923691107163231</v>
      </c>
      <c r="L104">
        <v>0.943960248570261</v>
      </c>
      <c r="M104">
        <v>0.287482666725818</v>
      </c>
      <c r="N104">
        <v>0.406241182812876</v>
      </c>
    </row>
    <row r="105" spans="1:14">
      <c r="A105" t="s">
        <v>21</v>
      </c>
      <c r="B105">
        <v>2006</v>
      </c>
      <c r="C105">
        <v>0.835597420354328</v>
      </c>
      <c r="D105">
        <v>0.967216201178207</v>
      </c>
      <c r="E105">
        <v>0.171627973223188</v>
      </c>
      <c r="F105">
        <v>0.996694000774994</v>
      </c>
      <c r="G105">
        <v>0.951500802711204</v>
      </c>
      <c r="H105">
        <v>0.919857326415361</v>
      </c>
      <c r="I105">
        <v>0.506181015452538</v>
      </c>
      <c r="J105">
        <v>0.939768394388346</v>
      </c>
      <c r="K105">
        <v>0.920946186692775</v>
      </c>
      <c r="L105">
        <v>0.936872615410607</v>
      </c>
      <c r="M105">
        <v>0.267262740285715</v>
      </c>
      <c r="N105">
        <v>0.398188090192421</v>
      </c>
    </row>
    <row r="106" spans="1:14">
      <c r="A106" t="s">
        <v>21</v>
      </c>
      <c r="B106">
        <v>2007</v>
      </c>
      <c r="C106">
        <v>0.819174225298588</v>
      </c>
      <c r="D106">
        <v>0.964587129609465</v>
      </c>
      <c r="E106">
        <v>0.114086312491098</v>
      </c>
      <c r="F106">
        <v>0.996798812419713</v>
      </c>
      <c r="G106">
        <v>0.956844545060588</v>
      </c>
      <c r="H106">
        <v>0.878852619993105</v>
      </c>
      <c r="I106">
        <v>0.375938189845475</v>
      </c>
      <c r="J106">
        <v>0.931640949943754</v>
      </c>
      <c r="K106">
        <v>0.91875025031641</v>
      </c>
      <c r="L106">
        <v>0.933464077410494</v>
      </c>
      <c r="M106">
        <v>0.199786010199557</v>
      </c>
      <c r="N106">
        <v>0.343770551278727</v>
      </c>
    </row>
    <row r="107" spans="1:14">
      <c r="A107" t="s">
        <v>21</v>
      </c>
      <c r="B107">
        <v>2008</v>
      </c>
      <c r="C107">
        <v>0.812933284820394</v>
      </c>
      <c r="D107">
        <v>0.959846836558299</v>
      </c>
      <c r="E107">
        <v>0.108531548212505</v>
      </c>
      <c r="F107">
        <v>0.996838873490059</v>
      </c>
      <c r="G107">
        <v>0.952558363462677</v>
      </c>
      <c r="H107">
        <v>0.857561714735395</v>
      </c>
      <c r="I107">
        <v>0.386975717439294</v>
      </c>
      <c r="J107">
        <v>0.891969364684508</v>
      </c>
      <c r="K107">
        <v>0.91325823045545</v>
      </c>
      <c r="L107">
        <v>0.928588120554269</v>
      </c>
      <c r="M107">
        <v>0.154909326661486</v>
      </c>
      <c r="N107">
        <v>0.322786259083884</v>
      </c>
    </row>
    <row r="108" spans="1:14">
      <c r="A108" t="s">
        <v>21</v>
      </c>
      <c r="B108">
        <v>2009</v>
      </c>
      <c r="C108">
        <v>0.804022526529986</v>
      </c>
      <c r="D108">
        <v>0.95952101826216</v>
      </c>
      <c r="E108">
        <v>0.0891610881640792</v>
      </c>
      <c r="F108">
        <v>0.996890572645088</v>
      </c>
      <c r="G108">
        <v>0.950553300190076</v>
      </c>
      <c r="H108">
        <v>0.799997415334921</v>
      </c>
      <c r="I108">
        <v>0.325827814569536</v>
      </c>
      <c r="J108">
        <v>0.880381721119941</v>
      </c>
      <c r="K108">
        <v>0.89842082250704</v>
      </c>
      <c r="L108">
        <v>0.930887596720996</v>
      </c>
      <c r="M108">
        <v>0.157534931732131</v>
      </c>
      <c r="N108">
        <v>0.310674310083509</v>
      </c>
    </row>
    <row r="109" spans="1:14">
      <c r="A109" t="s">
        <v>21</v>
      </c>
      <c r="B109">
        <v>2010</v>
      </c>
      <c r="C109">
        <v>0.775872693333333</v>
      </c>
      <c r="D109">
        <v>0.9535324251658</v>
      </c>
      <c r="E109">
        <v>0.0827517447657029</v>
      </c>
      <c r="F109">
        <v>0.996770215271013</v>
      </c>
      <c r="G109">
        <v>0.922336283890753</v>
      </c>
      <c r="H109">
        <v>0.75268429254001</v>
      </c>
      <c r="I109">
        <v>0.316556291390729</v>
      </c>
      <c r="J109">
        <v>0.876398468644621</v>
      </c>
      <c r="K109">
        <v>0.888556125141396</v>
      </c>
      <c r="L109">
        <v>0.932618578581904</v>
      </c>
      <c r="M109">
        <v>0.191568703930942</v>
      </c>
      <c r="N109">
        <v>0.316804912024523</v>
      </c>
    </row>
    <row r="110" spans="1:14">
      <c r="A110" t="s">
        <v>21</v>
      </c>
      <c r="B110">
        <v>2011</v>
      </c>
      <c r="C110">
        <v>0.756981889053818</v>
      </c>
      <c r="D110">
        <v>0.905075012256226</v>
      </c>
      <c r="E110">
        <v>0.0646631533969521</v>
      </c>
      <c r="F110">
        <v>0.996504081044525</v>
      </c>
      <c r="G110">
        <v>0.9247565840333</v>
      </c>
      <c r="H110">
        <v>0.835482257431104</v>
      </c>
      <c r="I110">
        <v>0.349668874172186</v>
      </c>
      <c r="J110">
        <v>0.887141179865938</v>
      </c>
      <c r="K110">
        <v>0.894798108531385</v>
      </c>
      <c r="L110">
        <v>0.927923698434609</v>
      </c>
      <c r="M110">
        <v>0.0906572145884682</v>
      </c>
      <c r="N110">
        <v>0.27717801830025</v>
      </c>
    </row>
    <row r="111" spans="1:14">
      <c r="A111" t="s">
        <v>21</v>
      </c>
      <c r="B111">
        <v>2012</v>
      </c>
      <c r="C111">
        <v>0.751748804266667</v>
      </c>
      <c r="D111">
        <v>0.845718856425883</v>
      </c>
      <c r="E111">
        <v>0.056687081612306</v>
      </c>
      <c r="F111">
        <v>0.996514841648952</v>
      </c>
      <c r="G111">
        <v>0.903833738621447</v>
      </c>
      <c r="H111">
        <v>0.815768456266558</v>
      </c>
      <c r="I111">
        <v>0.303532008830022</v>
      </c>
      <c r="J111">
        <v>0.88291651814969</v>
      </c>
      <c r="K111">
        <v>0.883272140266007</v>
      </c>
      <c r="L111">
        <v>0.92093100540953</v>
      </c>
      <c r="M111">
        <v>0.0935960027217933</v>
      </c>
      <c r="N111">
        <v>0.268776235074912</v>
      </c>
    </row>
    <row r="112" spans="1:14">
      <c r="A112" t="s">
        <v>21</v>
      </c>
      <c r="B112">
        <v>2013</v>
      </c>
      <c r="C112">
        <v>0.737020236731577</v>
      </c>
      <c r="D112">
        <v>0.878741011898859</v>
      </c>
      <c r="E112">
        <v>0.0548354935194416</v>
      </c>
      <c r="F112">
        <v>0.996276333464672</v>
      </c>
      <c r="G112">
        <v>0.844778909610009</v>
      </c>
      <c r="H112">
        <v>0.801574519428084</v>
      </c>
      <c r="I112">
        <v>0.325316261957322</v>
      </c>
      <c r="J112">
        <v>0.880978726172757</v>
      </c>
      <c r="K112">
        <v>0.879071355342916</v>
      </c>
      <c r="L112">
        <v>0.911110221892743</v>
      </c>
      <c r="M112">
        <v>0.0938398755690081</v>
      </c>
      <c r="N112">
        <v>0.266684010112219</v>
      </c>
    </row>
    <row r="113" spans="1:14">
      <c r="A113" t="s">
        <v>21</v>
      </c>
      <c r="B113">
        <v>2014</v>
      </c>
      <c r="C113">
        <v>0.732531359951048</v>
      </c>
      <c r="D113">
        <v>0.866675558240142</v>
      </c>
      <c r="E113">
        <v>0.0542657741062527</v>
      </c>
      <c r="F113">
        <v>0.995045444539821</v>
      </c>
      <c r="G113">
        <v>0.835388094227321</v>
      </c>
      <c r="H113">
        <v>0.799208863288339</v>
      </c>
      <c r="I113">
        <v>0.317221878832475</v>
      </c>
      <c r="J113">
        <v>0.873374361906759</v>
      </c>
      <c r="K113">
        <v>0.861886466552344</v>
      </c>
      <c r="L113">
        <v>0.901370427732625</v>
      </c>
      <c r="M113">
        <v>0.0808140101891529</v>
      </c>
      <c r="N113">
        <v>0.259270141551641</v>
      </c>
    </row>
    <row r="114" spans="1:14">
      <c r="A114" t="s">
        <v>21</v>
      </c>
      <c r="B114">
        <v>2015</v>
      </c>
      <c r="C114">
        <v>0.738414399877056</v>
      </c>
      <c r="D114">
        <v>0.866997169248675</v>
      </c>
      <c r="E114">
        <v>0.0746332431277595</v>
      </c>
      <c r="F114">
        <v>0.993791746168973</v>
      </c>
      <c r="G114">
        <v>0.820757589679923</v>
      </c>
      <c r="H114">
        <v>0.887526692505506</v>
      </c>
      <c r="I114">
        <v>0.368884768211921</v>
      </c>
      <c r="J114">
        <v>0.877103142218891</v>
      </c>
      <c r="K114">
        <v>0.870669785496735</v>
      </c>
      <c r="L114">
        <v>0.893848186756718</v>
      </c>
      <c r="M114">
        <v>0.117731529142024</v>
      </c>
      <c r="N114">
        <v>0.283661711806112</v>
      </c>
    </row>
    <row r="115" spans="1:14">
      <c r="A115" t="s">
        <v>21</v>
      </c>
      <c r="B115">
        <v>2016</v>
      </c>
      <c r="C115">
        <v>0.730879362144673</v>
      </c>
      <c r="D115">
        <v>0.878343059207178</v>
      </c>
      <c r="E115">
        <v>0.0559749323458198</v>
      </c>
      <c r="F115">
        <v>0.993124101509092</v>
      </c>
      <c r="G115">
        <v>0.775384012499966</v>
      </c>
      <c r="H115">
        <v>0.928531398927761</v>
      </c>
      <c r="I115">
        <v>0.301033112582781</v>
      </c>
      <c r="J115">
        <v>0.858165633374763</v>
      </c>
      <c r="K115">
        <v>0.827516688971199</v>
      </c>
      <c r="L115">
        <v>0.887904375831184</v>
      </c>
      <c r="M115">
        <v>0.0349088515999329</v>
      </c>
      <c r="N115">
        <v>0.238784881635253</v>
      </c>
    </row>
    <row r="116" spans="1:14">
      <c r="A116" t="s">
        <v>21</v>
      </c>
      <c r="B116">
        <v>2017</v>
      </c>
      <c r="C116">
        <v>0.716950757575758</v>
      </c>
      <c r="D116">
        <v>0.849091589983775</v>
      </c>
      <c r="E116">
        <v>0.0407349380430138</v>
      </c>
      <c r="F116">
        <v>0.991541827770763</v>
      </c>
      <c r="G116">
        <v>0.753045860836314</v>
      </c>
      <c r="H116">
        <v>0.857561714735395</v>
      </c>
      <c r="I116">
        <v>0.273191832229581</v>
      </c>
      <c r="J116">
        <v>0.841863548978978</v>
      </c>
      <c r="K116">
        <v>0.799841395372098</v>
      </c>
      <c r="L116">
        <v>0.90196396942368</v>
      </c>
      <c r="M116">
        <v>0.0337150272820856</v>
      </c>
      <c r="N116">
        <v>0.226724973353966</v>
      </c>
    </row>
    <row r="117" spans="1:14">
      <c r="A117" t="s">
        <v>21</v>
      </c>
      <c r="B117">
        <v>2018</v>
      </c>
      <c r="C117">
        <v>0.69331702011963</v>
      </c>
      <c r="D117">
        <v>0.820006428499789</v>
      </c>
      <c r="E117">
        <v>0.0353610596781084</v>
      </c>
      <c r="F117">
        <v>0.991605184874534</v>
      </c>
      <c r="G117">
        <v>0.716841341787568</v>
      </c>
      <c r="H117">
        <v>0.898260462963578</v>
      </c>
      <c r="I117">
        <v>0.261476158940397</v>
      </c>
      <c r="J117">
        <v>0.804028725929336</v>
      </c>
      <c r="K117">
        <v>0.748021073684643</v>
      </c>
      <c r="L117">
        <v>0.897455434667045</v>
      </c>
      <c r="M117">
        <v>0.0330783814390509</v>
      </c>
      <c r="N117">
        <v>0.217082108949063</v>
      </c>
    </row>
    <row r="118" spans="1:14">
      <c r="A118" t="s">
        <v>21</v>
      </c>
      <c r="B118">
        <v>2019</v>
      </c>
      <c r="C118">
        <v>0.679080741953082</v>
      </c>
      <c r="D118">
        <v>0.815218815061977</v>
      </c>
      <c r="E118">
        <v>0.0291546788206807</v>
      </c>
      <c r="F118">
        <v>0.991684402024617</v>
      </c>
      <c r="G118">
        <v>0.700101272334166</v>
      </c>
      <c r="H118">
        <v>0.874239353954987</v>
      </c>
      <c r="I118">
        <v>0.24358587196468</v>
      </c>
      <c r="J118">
        <v>0.766807927283996</v>
      </c>
      <c r="K118">
        <v>0.739271153318983</v>
      </c>
      <c r="L118">
        <v>0.92495009446777</v>
      </c>
      <c r="M118">
        <v>0.0314086077767751</v>
      </c>
      <c r="N118">
        <v>0.209198344264345</v>
      </c>
    </row>
    <row r="119" spans="1:14">
      <c r="A119" t="s">
        <v>21</v>
      </c>
      <c r="B119">
        <v>2020</v>
      </c>
      <c r="C119">
        <v>0.674465726596162</v>
      </c>
      <c r="D119">
        <v>0.817378292863809</v>
      </c>
      <c r="E119">
        <v>0.0178037316621564</v>
      </c>
      <c r="F119">
        <v>0.992013563606667</v>
      </c>
      <c r="G119">
        <v>0.691309655186178</v>
      </c>
      <c r="H119">
        <v>0.903795994084002</v>
      </c>
      <c r="I119">
        <v>0.240618101545254</v>
      </c>
      <c r="J119">
        <v>0.765028338829618</v>
      </c>
      <c r="K119">
        <v>0.731266527367962</v>
      </c>
      <c r="L119">
        <v>0.922809528146018</v>
      </c>
      <c r="M119">
        <v>0.0746533487669864</v>
      </c>
      <c r="N119">
        <v>0.219729022320912</v>
      </c>
    </row>
    <row r="120" spans="1:14">
      <c r="A120" t="s">
        <v>21</v>
      </c>
      <c r="B120">
        <v>2021</v>
      </c>
      <c r="C120">
        <v>0.651782139197604</v>
      </c>
      <c r="D120">
        <v>0.794595418412568</v>
      </c>
      <c r="E120">
        <v>0.0305127474718702</v>
      </c>
      <c r="F120">
        <v>0.991973829172121</v>
      </c>
      <c r="G120">
        <v>0.647750345220111</v>
      </c>
      <c r="H120">
        <v>0.829294428409423</v>
      </c>
      <c r="I120">
        <v>0.273730684326711</v>
      </c>
      <c r="J120">
        <v>0.706285423537023</v>
      </c>
      <c r="K120">
        <v>0.658449820820141</v>
      </c>
      <c r="L120">
        <v>0.890732383037669</v>
      </c>
      <c r="M120">
        <v>0.0742758198050311</v>
      </c>
      <c r="N120">
        <v>0.215680676443523</v>
      </c>
    </row>
    <row r="121" spans="1:14">
      <c r="A121" t="s">
        <v>21</v>
      </c>
      <c r="B121">
        <v>2022</v>
      </c>
      <c r="C121">
        <v>0.652532364387261</v>
      </c>
      <c r="D121">
        <v>0.798810332049928</v>
      </c>
      <c r="E121">
        <v>0.0323144851160803</v>
      </c>
      <c r="F121">
        <v>0.991940466828292</v>
      </c>
      <c r="G121">
        <v>0.662653756179939</v>
      </c>
      <c r="H121">
        <v>0.746351511424065</v>
      </c>
      <c r="I121">
        <v>0.278630905077263</v>
      </c>
      <c r="J121">
        <v>0.705771423028212</v>
      </c>
      <c r="K121">
        <v>0.652423239240648</v>
      </c>
      <c r="L121">
        <v>0.938933735120087</v>
      </c>
      <c r="M121">
        <v>0.0580176625068916</v>
      </c>
      <c r="N121">
        <v>0.211786934510314</v>
      </c>
    </row>
    <row r="122" spans="1:14">
      <c r="A122" t="s">
        <v>22</v>
      </c>
      <c r="B122">
        <v>2003</v>
      </c>
      <c r="C122">
        <v>0.928393676035503</v>
      </c>
      <c r="D122">
        <v>0.987825207137713</v>
      </c>
      <c r="E122">
        <v>0.423763993733086</v>
      </c>
      <c r="F122">
        <v>0.993970984844871</v>
      </c>
      <c r="G122">
        <v>0.877615190223028</v>
      </c>
      <c r="H122">
        <v>0.977910133808693</v>
      </c>
      <c r="I122">
        <v>0.730905077262693</v>
      </c>
      <c r="J122">
        <v>0.986682256875446</v>
      </c>
      <c r="K122">
        <v>0.993515118903667</v>
      </c>
      <c r="L122">
        <v>0.996369076417023</v>
      </c>
      <c r="M122">
        <v>0.158720687936303</v>
      </c>
      <c r="N122">
        <v>0.470150145818343</v>
      </c>
    </row>
    <row r="123" spans="1:14">
      <c r="A123" t="s">
        <v>22</v>
      </c>
      <c r="B123">
        <v>2004</v>
      </c>
      <c r="C123">
        <v>0.921542938845823</v>
      </c>
      <c r="D123">
        <v>0.984217763827346</v>
      </c>
      <c r="E123">
        <v>0.408412904144709</v>
      </c>
      <c r="F123">
        <v>0.994426865536723</v>
      </c>
      <c r="G123">
        <v>0.842104008871382</v>
      </c>
      <c r="H123">
        <v>0.982389661419711</v>
      </c>
      <c r="I123">
        <v>0.611699779249448</v>
      </c>
      <c r="J123">
        <v>0.980807965346186</v>
      </c>
      <c r="K123">
        <v>0.981842332930268</v>
      </c>
      <c r="L123">
        <v>0.995994126107943</v>
      </c>
      <c r="M123">
        <v>0.13096495548615</v>
      </c>
      <c r="N123">
        <v>0.444100701952072</v>
      </c>
    </row>
    <row r="124" spans="1:14">
      <c r="A124" t="s">
        <v>22</v>
      </c>
      <c r="B124">
        <v>2005</v>
      </c>
      <c r="C124">
        <v>0.920390344072165</v>
      </c>
      <c r="D124">
        <v>0.975679289326876</v>
      </c>
      <c r="E124">
        <v>0.338570431562455</v>
      </c>
      <c r="F124">
        <v>0.99595881255325</v>
      </c>
      <c r="G124">
        <v>0.813194970169075</v>
      </c>
      <c r="H124">
        <v>0.972690313536345</v>
      </c>
      <c r="I124">
        <v>0.611699779249448</v>
      </c>
      <c r="J124">
        <v>0.980807965346186</v>
      </c>
      <c r="K124">
        <v>0.988975702136234</v>
      </c>
      <c r="L124">
        <v>0.988405554626067</v>
      </c>
      <c r="M124">
        <v>0.141986322762047</v>
      </c>
      <c r="N124">
        <v>0.42148692039439</v>
      </c>
    </row>
    <row r="125" spans="1:14">
      <c r="A125" t="s">
        <v>22</v>
      </c>
      <c r="B125">
        <v>2006</v>
      </c>
      <c r="C125">
        <v>0.913408623393316</v>
      </c>
      <c r="D125">
        <v>0.976448359644665</v>
      </c>
      <c r="E125">
        <v>0.355647343683236</v>
      </c>
      <c r="F125">
        <v>0.994117144628893</v>
      </c>
      <c r="G125">
        <v>0.879305501913557</v>
      </c>
      <c r="H125">
        <v>0.959284928744453</v>
      </c>
      <c r="I125">
        <v>0.601103752759382</v>
      </c>
      <c r="J125">
        <v>0.978715751924806</v>
      </c>
      <c r="K125">
        <v>0.9922181426844</v>
      </c>
      <c r="L125">
        <v>0.986100112883932</v>
      </c>
      <c r="M125">
        <v>0.13784475084532</v>
      </c>
      <c r="N125">
        <v>0.428256897718197</v>
      </c>
    </row>
    <row r="126" spans="1:14">
      <c r="A126" t="s">
        <v>22</v>
      </c>
      <c r="B126">
        <v>2007</v>
      </c>
      <c r="C126">
        <v>0.903122728205129</v>
      </c>
      <c r="D126">
        <v>0.974668600429265</v>
      </c>
      <c r="E126">
        <v>0.250961401509756</v>
      </c>
      <c r="F126">
        <v>0.99424906126237</v>
      </c>
      <c r="G126">
        <v>0.872170269201424</v>
      </c>
      <c r="H126">
        <v>0.947456648045726</v>
      </c>
      <c r="I126">
        <v>0.471743929359823</v>
      </c>
      <c r="J126">
        <v>0.977548940593652</v>
      </c>
      <c r="K126">
        <v>0.978599892382101</v>
      </c>
      <c r="L126">
        <v>0.984725991127125</v>
      </c>
      <c r="M126">
        <v>0.116773435226113</v>
      </c>
      <c r="N126">
        <v>0.373701339849715</v>
      </c>
    </row>
    <row r="127" spans="1:14">
      <c r="A127" t="s">
        <v>22</v>
      </c>
      <c r="B127">
        <v>2008</v>
      </c>
      <c r="C127">
        <v>0.896186504267252</v>
      </c>
      <c r="D127">
        <v>0.945931885894342</v>
      </c>
      <c r="E127">
        <v>0.216208517305227</v>
      </c>
      <c r="F127">
        <v>0.993765917504955</v>
      </c>
      <c r="G127">
        <v>0.882050644662982</v>
      </c>
      <c r="H127">
        <v>0.878852619993105</v>
      </c>
      <c r="I127">
        <v>0.565121412803532</v>
      </c>
      <c r="J127">
        <v>0.975215317931343</v>
      </c>
      <c r="K127">
        <v>0.977276976638449</v>
      </c>
      <c r="L127">
        <v>0.982975844277108</v>
      </c>
      <c r="M127">
        <v>0.120363962778786</v>
      </c>
      <c r="N127">
        <v>0.367774222870227</v>
      </c>
    </row>
    <row r="128" spans="1:14">
      <c r="A128" t="s">
        <v>22</v>
      </c>
      <c r="B128">
        <v>2009</v>
      </c>
      <c r="C128">
        <v>0.892498604927007</v>
      </c>
      <c r="D128">
        <v>0.935010681020982</v>
      </c>
      <c r="E128">
        <v>0.206808146987608</v>
      </c>
      <c r="F128">
        <v>0.993916625279392</v>
      </c>
      <c r="G128">
        <v>0.864626387122189</v>
      </c>
      <c r="H128">
        <v>0.881218276132851</v>
      </c>
      <c r="I128">
        <v>0.520529801324503</v>
      </c>
      <c r="J128">
        <v>0.974973908690415</v>
      </c>
      <c r="K128">
        <v>0.972711620346631</v>
      </c>
      <c r="L128">
        <v>0.975657048358856</v>
      </c>
      <c r="M128">
        <v>0.118223823431476</v>
      </c>
      <c r="N128">
        <v>0.35919577640388</v>
      </c>
    </row>
    <row r="129" spans="1:14">
      <c r="A129" t="s">
        <v>22</v>
      </c>
      <c r="B129">
        <v>2010</v>
      </c>
      <c r="C129">
        <v>0.879927108360636</v>
      </c>
      <c r="D129">
        <v>0.914359551128892</v>
      </c>
      <c r="E129">
        <v>0.204529269334852</v>
      </c>
      <c r="F129">
        <v>0.994167856686214</v>
      </c>
      <c r="G129">
        <v>0.793175186699948</v>
      </c>
      <c r="H129">
        <v>0.817345560359721</v>
      </c>
      <c r="I129">
        <v>0.494922737306843</v>
      </c>
      <c r="J129">
        <v>0.966001531902573</v>
      </c>
      <c r="K129">
        <v>0.969521058847235</v>
      </c>
      <c r="L129">
        <v>0.969364735534951</v>
      </c>
      <c r="M129">
        <v>0.10482005458957</v>
      </c>
      <c r="N129">
        <v>0.346136351161817</v>
      </c>
    </row>
    <row r="130" spans="1:14">
      <c r="A130" t="s">
        <v>22</v>
      </c>
      <c r="B130">
        <v>2011</v>
      </c>
      <c r="C130">
        <v>0.867802828073395</v>
      </c>
      <c r="D130">
        <v>0.924258601636872</v>
      </c>
      <c r="E130">
        <v>0.166927788064378</v>
      </c>
      <c r="F130">
        <v>0.994392162900464</v>
      </c>
      <c r="G130">
        <v>0.839609384980058</v>
      </c>
      <c r="H130">
        <v>0.865447235201214</v>
      </c>
      <c r="I130">
        <v>0.461810154525386</v>
      </c>
      <c r="J130">
        <v>0.947976308579914</v>
      </c>
      <c r="K130">
        <v>0.947472463119703</v>
      </c>
      <c r="L130">
        <v>0.9649092424598</v>
      </c>
      <c r="M130">
        <v>0.0938675327871447</v>
      </c>
      <c r="N130">
        <v>0.327452743527396</v>
      </c>
    </row>
    <row r="131" spans="1:14">
      <c r="A131" t="s">
        <v>22</v>
      </c>
      <c r="B131">
        <v>2012</v>
      </c>
      <c r="C131">
        <v>0.865029478811465</v>
      </c>
      <c r="D131">
        <v>0.910070648084505</v>
      </c>
      <c r="E131">
        <v>0.150121065375303</v>
      </c>
      <c r="F131">
        <v>0.992997198939744</v>
      </c>
      <c r="G131">
        <v>0.827616169883564</v>
      </c>
      <c r="H131">
        <v>0.882795380226014</v>
      </c>
      <c r="I131">
        <v>0.395364238410596</v>
      </c>
      <c r="J131">
        <v>0.9409352057195</v>
      </c>
      <c r="K131">
        <v>0.947472463119703</v>
      </c>
      <c r="L131">
        <v>0.957294381051219</v>
      </c>
      <c r="M131">
        <v>0.0974692804669396</v>
      </c>
      <c r="N131">
        <v>0.316732306135599</v>
      </c>
    </row>
    <row r="132" spans="1:14">
      <c r="A132" t="s">
        <v>22</v>
      </c>
      <c r="B132">
        <v>2013</v>
      </c>
      <c r="C132">
        <v>0.859868815592204</v>
      </c>
      <c r="D132">
        <v>0.90425201843871</v>
      </c>
      <c r="E132">
        <v>0.122062384275744</v>
      </c>
      <c r="F132">
        <v>0.992123266025036</v>
      </c>
      <c r="G132">
        <v>0.763102093935845</v>
      </c>
      <c r="H132">
        <v>0.85519605859565</v>
      </c>
      <c r="I132">
        <v>0.398140986019132</v>
      </c>
      <c r="J132">
        <v>0.946751961379672</v>
      </c>
      <c r="K132">
        <v>0.936305152011492</v>
      </c>
      <c r="L132">
        <v>0.944603359286685</v>
      </c>
      <c r="M132">
        <v>0.0973145021645863</v>
      </c>
      <c r="N132">
        <v>0.30312227054785</v>
      </c>
    </row>
    <row r="133" spans="1:14">
      <c r="A133" t="s">
        <v>22</v>
      </c>
      <c r="B133">
        <v>2014</v>
      </c>
      <c r="C133">
        <v>0.855460509714862</v>
      </c>
      <c r="D133">
        <v>0.909661378019579</v>
      </c>
      <c r="E133">
        <v>0.114228742344395</v>
      </c>
      <c r="F133">
        <v>0.99166509944001</v>
      </c>
      <c r="G133">
        <v>0.831021912585523</v>
      </c>
      <c r="H133">
        <v>0.856773162688814</v>
      </c>
      <c r="I133">
        <v>0.38697257787589</v>
      </c>
      <c r="J133">
        <v>0.948892590765482</v>
      </c>
      <c r="K133">
        <v>0.928406682122934</v>
      </c>
      <c r="L133">
        <v>0.941680410523215</v>
      </c>
      <c r="M133">
        <v>0.10239223248112</v>
      </c>
      <c r="N133">
        <v>0.304714284638983</v>
      </c>
    </row>
    <row r="134" spans="1:14">
      <c r="A134" t="s">
        <v>22</v>
      </c>
      <c r="B134">
        <v>2015</v>
      </c>
      <c r="C134">
        <v>0.857356805715015</v>
      </c>
      <c r="D134">
        <v>0.913485577373244</v>
      </c>
      <c r="E134">
        <v>0.107392109386127</v>
      </c>
      <c r="F134">
        <v>0.993594859034966</v>
      </c>
      <c r="G134">
        <v>0.837960155255019</v>
      </c>
      <c r="H134">
        <v>0.843367777896922</v>
      </c>
      <c r="I134">
        <v>0.403694481236203</v>
      </c>
      <c r="J134">
        <v>0.958385472700015</v>
      </c>
      <c r="K134">
        <v>0.913970529795072</v>
      </c>
      <c r="L134">
        <v>0.93915390335815</v>
      </c>
      <c r="M134">
        <v>0.119713573307552</v>
      </c>
      <c r="N134">
        <v>0.310223130169959</v>
      </c>
    </row>
    <row r="135" spans="1:14">
      <c r="A135" t="s">
        <v>22</v>
      </c>
      <c r="B135">
        <v>2016</v>
      </c>
      <c r="C135">
        <v>0.851237501623166</v>
      </c>
      <c r="D135">
        <v>0.91176870779056</v>
      </c>
      <c r="E135">
        <v>0.0997008973080758</v>
      </c>
      <c r="F135">
        <v>0.992486875538662</v>
      </c>
      <c r="G135">
        <v>0.791247103272976</v>
      </c>
      <c r="H135">
        <v>0.881218276132851</v>
      </c>
      <c r="I135">
        <v>0.364635761589404</v>
      </c>
      <c r="J135">
        <v>0.953173849537104</v>
      </c>
      <c r="K135">
        <v>0.912609742345817</v>
      </c>
      <c r="L135">
        <v>0.935435221228117</v>
      </c>
      <c r="M135">
        <v>0.0540359507553624</v>
      </c>
      <c r="N135">
        <v>0.278966818743277</v>
      </c>
    </row>
    <row r="136" spans="1:14">
      <c r="A136" t="s">
        <v>22</v>
      </c>
      <c r="B136">
        <v>2017</v>
      </c>
      <c r="C136">
        <v>0.840901953021906</v>
      </c>
      <c r="D136">
        <v>0.897769346847988</v>
      </c>
      <c r="E136">
        <v>0.0998433271613731</v>
      </c>
      <c r="F136">
        <v>0.992208008022065</v>
      </c>
      <c r="G136">
        <v>0.773795557191384</v>
      </c>
      <c r="H136">
        <v>0.899354973204233</v>
      </c>
      <c r="I136">
        <v>0.353301766004415</v>
      </c>
      <c r="J136">
        <v>0.948815487336255</v>
      </c>
      <c r="K136">
        <v>0.89580860864334</v>
      </c>
      <c r="L136">
        <v>0.931635494298919</v>
      </c>
      <c r="M136">
        <v>0.0397542817191986</v>
      </c>
      <c r="N136">
        <v>0.271164464530942</v>
      </c>
    </row>
    <row r="137" spans="1:14">
      <c r="A137" t="s">
        <v>22</v>
      </c>
      <c r="B137">
        <v>2018</v>
      </c>
      <c r="C137">
        <v>0.827165190552872</v>
      </c>
      <c r="D137">
        <v>0.874396987646913</v>
      </c>
      <c r="E137">
        <v>0.0991636519014386</v>
      </c>
      <c r="F137">
        <v>0.991728714901727</v>
      </c>
      <c r="G137">
        <v>0.762183591203933</v>
      </c>
      <c r="H137">
        <v>0.929152777940468</v>
      </c>
      <c r="I137">
        <v>0.30026004415011</v>
      </c>
      <c r="J137">
        <v>0.927340525960727</v>
      </c>
      <c r="K137">
        <v>0.876195526739396</v>
      </c>
      <c r="L137">
        <v>0.928400137033231</v>
      </c>
      <c r="M137">
        <v>0.0169447498849243</v>
      </c>
      <c r="N137">
        <v>0.255979549513535</v>
      </c>
    </row>
    <row r="138" spans="1:14">
      <c r="A138" t="s">
        <v>22</v>
      </c>
      <c r="B138">
        <v>2019</v>
      </c>
      <c r="C138">
        <v>0.817851307189543</v>
      </c>
      <c r="D138">
        <v>0.873947076608769</v>
      </c>
      <c r="E138">
        <v>0.116763566443527</v>
      </c>
      <c r="F138">
        <v>0.990309727954664</v>
      </c>
      <c r="G138">
        <v>0.761179879458876</v>
      </c>
      <c r="H138">
        <v>0.949788920046027</v>
      </c>
      <c r="I138">
        <v>0.27726004415011</v>
      </c>
      <c r="J138">
        <v>0.908732661435087</v>
      </c>
      <c r="K138">
        <v>0.859144854812332</v>
      </c>
      <c r="L138">
        <v>0.92566713402441</v>
      </c>
      <c r="M138">
        <v>0.0177295413452066</v>
      </c>
      <c r="N138">
        <v>0.259031554956313</v>
      </c>
    </row>
    <row r="139" spans="1:14">
      <c r="A139" t="s">
        <v>22</v>
      </c>
      <c r="B139">
        <v>2020</v>
      </c>
      <c r="C139">
        <v>0.808173544532444</v>
      </c>
      <c r="D139">
        <v>0.858897285987522</v>
      </c>
      <c r="E139">
        <v>0.100697906281156</v>
      </c>
      <c r="F139">
        <v>0.990303438412023</v>
      </c>
      <c r="G139">
        <v>0.728101562657933</v>
      </c>
      <c r="H139">
        <v>0.958736508484855</v>
      </c>
      <c r="I139">
        <v>0.260485651214128</v>
      </c>
      <c r="J139">
        <v>0.905448047303014</v>
      </c>
      <c r="K139">
        <v>0.850588339540489</v>
      </c>
      <c r="L139">
        <v>0.921645591689913</v>
      </c>
      <c r="M139">
        <v>0.032612588120006</v>
      </c>
      <c r="N139">
        <v>0.254835414829857</v>
      </c>
    </row>
    <row r="140" spans="1:14">
      <c r="A140" t="s">
        <v>22</v>
      </c>
      <c r="B140">
        <v>2021</v>
      </c>
      <c r="C140">
        <v>0.797088421052631</v>
      </c>
      <c r="D140">
        <v>0.840594796275507</v>
      </c>
      <c r="E140">
        <v>0.073321464178892</v>
      </c>
      <c r="F140">
        <v>0.990259882486018</v>
      </c>
      <c r="G140">
        <v>0.698986316080639</v>
      </c>
      <c r="H140">
        <v>0.920181570830055</v>
      </c>
      <c r="I140">
        <v>0.295805739514349</v>
      </c>
      <c r="J140">
        <v>0.893377585256591</v>
      </c>
      <c r="K140">
        <v>0.858609463029018</v>
      </c>
      <c r="L140">
        <v>0.91930396569444</v>
      </c>
      <c r="M140">
        <v>0.0402164380199358</v>
      </c>
      <c r="N140">
        <v>0.24699878270347</v>
      </c>
    </row>
    <row r="141" spans="1:14">
      <c r="A141" t="s">
        <v>22</v>
      </c>
      <c r="B141">
        <v>2022</v>
      </c>
      <c r="C141">
        <v>0.792563884156729</v>
      </c>
      <c r="D141">
        <v>0.830932022020396</v>
      </c>
      <c r="E141">
        <v>0.0492479703745905</v>
      </c>
      <c r="F141">
        <v>0.990168438977581</v>
      </c>
      <c r="G141">
        <v>0.711981476930039</v>
      </c>
      <c r="H141">
        <v>0.915345726362935</v>
      </c>
      <c r="I141">
        <v>0.276721412803532</v>
      </c>
      <c r="J141">
        <v>0.887968288160233</v>
      </c>
      <c r="K141">
        <v>0.855541647359014</v>
      </c>
      <c r="L141">
        <v>0.924047884428875</v>
      </c>
      <c r="M141">
        <v>0.0426804274707399</v>
      </c>
      <c r="N141">
        <v>0.237933046950678</v>
      </c>
    </row>
    <row r="142" spans="1:14">
      <c r="A142" t="s">
        <v>23</v>
      </c>
      <c r="B142">
        <v>2003</v>
      </c>
      <c r="C142">
        <v>0.926069938837921</v>
      </c>
      <c r="D142">
        <v>0.941276181486604</v>
      </c>
      <c r="E142">
        <v>0.467019940179462</v>
      </c>
      <c r="F142">
        <v>0.991625688294979</v>
      </c>
      <c r="G142">
        <v>0.97770601318389</v>
      </c>
      <c r="H142">
        <v>0.966278281424769</v>
      </c>
      <c r="I142">
        <v>0.860927152317881</v>
      </c>
      <c r="J142">
        <v>0.980325146864329</v>
      </c>
      <c r="K142">
        <v>0.978229372215781</v>
      </c>
      <c r="L142">
        <v>0.99741792708998</v>
      </c>
      <c r="M142">
        <v>0.0952115435343155</v>
      </c>
      <c r="N142">
        <v>0.474729614293614</v>
      </c>
    </row>
    <row r="143" spans="1:14">
      <c r="A143" t="s">
        <v>23</v>
      </c>
      <c r="B143">
        <v>2004</v>
      </c>
      <c r="C143">
        <v>0.921300924984717</v>
      </c>
      <c r="D143">
        <v>0.943043100453002</v>
      </c>
      <c r="E143">
        <v>0.443783791482695</v>
      </c>
      <c r="F143">
        <v>0.992598267000698</v>
      </c>
      <c r="G143">
        <v>0.974758078187072</v>
      </c>
      <c r="H143">
        <v>0.960980157934195</v>
      </c>
      <c r="I143">
        <v>0.759823399558499</v>
      </c>
      <c r="J143">
        <v>0.971111360835559</v>
      </c>
      <c r="K143">
        <v>0.96572278617054</v>
      </c>
      <c r="L143">
        <v>0.995201936330864</v>
      </c>
      <c r="M143">
        <v>0.105072110748386</v>
      </c>
      <c r="N143">
        <v>0.461810721969453</v>
      </c>
    </row>
    <row r="144" spans="1:14">
      <c r="A144" t="s">
        <v>23</v>
      </c>
      <c r="B144">
        <v>2005</v>
      </c>
      <c r="C144">
        <v>0.916816244589878</v>
      </c>
      <c r="D144">
        <v>0.931643840284575</v>
      </c>
      <c r="E144">
        <v>0.413614727246831</v>
      </c>
      <c r="F144">
        <v>0.992662582909707</v>
      </c>
      <c r="G144">
        <v>0.968259306983732</v>
      </c>
      <c r="H144">
        <v>0.94509099190598</v>
      </c>
      <c r="I144">
        <v>0.759823399558499</v>
      </c>
      <c r="J144">
        <v>0.971111360835559</v>
      </c>
      <c r="K144">
        <v>0.94487851068117</v>
      </c>
      <c r="L144">
        <v>0.992959458963442</v>
      </c>
      <c r="M144">
        <v>0.103643572955924</v>
      </c>
      <c r="N144">
        <v>0.449228864399451</v>
      </c>
    </row>
    <row r="145" spans="1:14">
      <c r="A145" t="s">
        <v>23</v>
      </c>
      <c r="B145">
        <v>2006</v>
      </c>
      <c r="C145">
        <v>0.910721517220333</v>
      </c>
      <c r="D145">
        <v>0.93141789640133</v>
      </c>
      <c r="E145">
        <v>0.417034610454351</v>
      </c>
      <c r="F145">
        <v>0.992171601747648</v>
      </c>
      <c r="G145">
        <v>0.975215675259254</v>
      </c>
      <c r="H145">
        <v>0.935628367346998</v>
      </c>
      <c r="I145">
        <v>0.736644591611479</v>
      </c>
      <c r="J145">
        <v>0.972036762925785</v>
      </c>
      <c r="K145">
        <v>0.943025702333374</v>
      </c>
      <c r="L145">
        <v>0.987753714752768</v>
      </c>
      <c r="M145">
        <v>0.104907205526181</v>
      </c>
      <c r="N145">
        <v>0.449360633192165</v>
      </c>
    </row>
    <row r="146" spans="1:14">
      <c r="A146" t="s">
        <v>23</v>
      </c>
      <c r="B146">
        <v>2007</v>
      </c>
      <c r="C146">
        <v>0.905977516910739</v>
      </c>
      <c r="D146">
        <v>0.914189972005376</v>
      </c>
      <c r="E146">
        <v>0.363908275174476</v>
      </c>
      <c r="F146">
        <v>0.993259753480842</v>
      </c>
      <c r="G146">
        <v>0.978526456836747</v>
      </c>
      <c r="H146">
        <v>0.918280222322198</v>
      </c>
      <c r="I146">
        <v>0.579690949227373</v>
      </c>
      <c r="J146">
        <v>0.970789481847655</v>
      </c>
      <c r="K146">
        <v>0.93746717353189</v>
      </c>
      <c r="L146">
        <v>0.985110169703958</v>
      </c>
      <c r="M146">
        <v>0.100845934263002</v>
      </c>
      <c r="N146">
        <v>0.417604460904211</v>
      </c>
    </row>
    <row r="147" spans="1:14">
      <c r="A147" t="s">
        <v>23</v>
      </c>
      <c r="B147">
        <v>2008</v>
      </c>
      <c r="C147">
        <v>0.899879405969499</v>
      </c>
      <c r="D147">
        <v>0.91206073018919</v>
      </c>
      <c r="E147">
        <v>0.292693348525851</v>
      </c>
      <c r="F147">
        <v>0.996284104302898</v>
      </c>
      <c r="G147">
        <v>0.967502015326411</v>
      </c>
      <c r="H147">
        <v>0.885949588412342</v>
      </c>
      <c r="I147">
        <v>0.66953642384106</v>
      </c>
      <c r="J147">
        <v>0.9696226705165</v>
      </c>
      <c r="K147">
        <v>0.93515118903667</v>
      </c>
      <c r="L147">
        <v>0.979841415763721</v>
      </c>
      <c r="M147">
        <v>0.0873769600711521</v>
      </c>
      <c r="N147">
        <v>0.392413140875496</v>
      </c>
    </row>
    <row r="148" spans="1:14">
      <c r="A148" t="s">
        <v>23</v>
      </c>
      <c r="B148">
        <v>2009</v>
      </c>
      <c r="C148">
        <v>0.897101792995295</v>
      </c>
      <c r="D148">
        <v>0.916190385928413</v>
      </c>
      <c r="E148">
        <v>0.231021222048141</v>
      </c>
      <c r="F148">
        <v>0.996446735699447</v>
      </c>
      <c r="G148">
        <v>0.948052800227474</v>
      </c>
      <c r="H148">
        <v>0.90645194162347</v>
      </c>
      <c r="I148">
        <v>0.614790286975717</v>
      </c>
      <c r="J148">
        <v>0.968133980197441</v>
      </c>
      <c r="K148">
        <v>0.923530282112042</v>
      </c>
      <c r="L148">
        <v>0.975145728564368</v>
      </c>
      <c r="M148">
        <v>0.0954175798436733</v>
      </c>
      <c r="N148">
        <v>0.368444464240837</v>
      </c>
    </row>
    <row r="149" spans="1:14">
      <c r="A149" t="s">
        <v>23</v>
      </c>
      <c r="B149">
        <v>2010</v>
      </c>
      <c r="C149">
        <v>0.888464596921471</v>
      </c>
      <c r="D149">
        <v>0.916622298071198</v>
      </c>
      <c r="E149">
        <v>0.218344965104686</v>
      </c>
      <c r="F149">
        <v>0.995030545271619</v>
      </c>
      <c r="G149">
        <v>0.930421376577221</v>
      </c>
      <c r="H149">
        <v>0.862293027014886</v>
      </c>
      <c r="I149">
        <v>0.573289183222958</v>
      </c>
      <c r="J149">
        <v>0.964110492848633</v>
      </c>
      <c r="K149">
        <v>0.906895680156119</v>
      </c>
      <c r="L149">
        <v>0.970236406519281</v>
      </c>
      <c r="M149">
        <v>0.0979262344252038</v>
      </c>
      <c r="N149">
        <v>0.359756292556215</v>
      </c>
    </row>
    <row r="150" spans="1:14">
      <c r="A150" t="s">
        <v>23</v>
      </c>
      <c r="B150">
        <v>2011</v>
      </c>
      <c r="C150">
        <v>0.878792956945179</v>
      </c>
      <c r="D150">
        <v>0.912389184853035</v>
      </c>
      <c r="E150">
        <v>0.26477709727959</v>
      </c>
      <c r="F150">
        <v>0.994492435867917</v>
      </c>
      <c r="G150">
        <v>0.929209400991548</v>
      </c>
      <c r="H150">
        <v>0.892258004784997</v>
      </c>
      <c r="I150">
        <v>0.548344370860927</v>
      </c>
      <c r="J150">
        <v>0.962581567656086</v>
      </c>
      <c r="K150">
        <v>0.906432400250597</v>
      </c>
      <c r="L150">
        <v>0.96748541108096</v>
      </c>
      <c r="M150">
        <v>0.145034868474643</v>
      </c>
      <c r="N150">
        <v>0.390977996454213</v>
      </c>
    </row>
    <row r="151" spans="1:14">
      <c r="A151" t="s">
        <v>23</v>
      </c>
      <c r="B151">
        <v>2012</v>
      </c>
      <c r="C151">
        <v>0.872908598684211</v>
      </c>
      <c r="D151">
        <v>0.903332616808197</v>
      </c>
      <c r="E151">
        <v>0.236575986326734</v>
      </c>
      <c r="F151">
        <v>0.994619346695524</v>
      </c>
      <c r="G151">
        <v>0.916809147507681</v>
      </c>
      <c r="H151">
        <v>0.828385289011867</v>
      </c>
      <c r="I151">
        <v>0.516114790286976</v>
      </c>
      <c r="J151">
        <v>0.959805361385409</v>
      </c>
      <c r="K151">
        <v>0.898557886953893</v>
      </c>
      <c r="L151">
        <v>0.956728941699869</v>
      </c>
      <c r="M151">
        <v>0.161563468115567</v>
      </c>
      <c r="N151">
        <v>0.382454314877005</v>
      </c>
    </row>
    <row r="152" spans="1:14">
      <c r="A152" t="s">
        <v>23</v>
      </c>
      <c r="B152">
        <v>2013</v>
      </c>
      <c r="C152">
        <v>0.868232860520095</v>
      </c>
      <c r="D152">
        <v>0.898625253353923</v>
      </c>
      <c r="E152">
        <v>0.205383848454636</v>
      </c>
      <c r="F152">
        <v>0.993572073319224</v>
      </c>
      <c r="G152">
        <v>0.883808795120918</v>
      </c>
      <c r="H152">
        <v>0.88516103636576</v>
      </c>
      <c r="I152">
        <v>0.494214054451803</v>
      </c>
      <c r="J152">
        <v>0.96008543633976</v>
      </c>
      <c r="K152">
        <v>0.896536264181397</v>
      </c>
      <c r="L152">
        <v>0.961431337931698</v>
      </c>
      <c r="M152">
        <v>0.191252165370595</v>
      </c>
      <c r="N152">
        <v>0.379196173447182</v>
      </c>
    </row>
    <row r="153" spans="1:14">
      <c r="A153" t="s">
        <v>23</v>
      </c>
      <c r="B153">
        <v>2014</v>
      </c>
      <c r="C153">
        <v>0.863896433850702</v>
      </c>
      <c r="D153">
        <v>0.894892275495414</v>
      </c>
      <c r="E153">
        <v>0.196125907990315</v>
      </c>
      <c r="F153">
        <v>0.993748015796085</v>
      </c>
      <c r="G153">
        <v>0.895903756866994</v>
      </c>
      <c r="H153">
        <v>0.875698411806778</v>
      </c>
      <c r="I153">
        <v>0.46611032622026</v>
      </c>
      <c r="J153">
        <v>0.959678514240926</v>
      </c>
      <c r="K153">
        <v>0.890743899214087</v>
      </c>
      <c r="L153">
        <v>0.946186742943219</v>
      </c>
      <c r="M153">
        <v>0.220418962990747</v>
      </c>
      <c r="N153">
        <v>0.384174497777841</v>
      </c>
    </row>
    <row r="154" spans="1:14">
      <c r="A154" t="s">
        <v>23</v>
      </c>
      <c r="B154">
        <v>2015</v>
      </c>
      <c r="C154">
        <v>0.859229715689053</v>
      </c>
      <c r="D154">
        <v>0.891509558904833</v>
      </c>
      <c r="E154">
        <v>0.190713573565019</v>
      </c>
      <c r="F154">
        <v>0.994101265761689</v>
      </c>
      <c r="G154">
        <v>0.898256193141797</v>
      </c>
      <c r="H154">
        <v>0.904086285483724</v>
      </c>
      <c r="I154">
        <v>0.450412582781457</v>
      </c>
      <c r="J154">
        <v>0.960645586248461</v>
      </c>
      <c r="K154">
        <v>0.892493018636407</v>
      </c>
      <c r="L154">
        <v>0.940337499585585</v>
      </c>
      <c r="M154">
        <v>0.255494472774087</v>
      </c>
      <c r="N154">
        <v>0.39382097071954</v>
      </c>
    </row>
    <row r="155" spans="1:14">
      <c r="A155" t="s">
        <v>23</v>
      </c>
      <c r="B155">
        <v>2016</v>
      </c>
      <c r="C155">
        <v>0.85192463182212</v>
      </c>
      <c r="D155">
        <v>0.882589870112836</v>
      </c>
      <c r="E155">
        <v>0.190001424298533</v>
      </c>
      <c r="F155">
        <v>0.99410143541535</v>
      </c>
      <c r="G155">
        <v>0.879135963692879</v>
      </c>
      <c r="H155">
        <v>0.940359679626489</v>
      </c>
      <c r="I155">
        <v>0.409902869757174</v>
      </c>
      <c r="J155">
        <v>0.958864670043258</v>
      </c>
      <c r="K155">
        <v>0.879159169279468</v>
      </c>
      <c r="L155">
        <v>0.936700718966666</v>
      </c>
      <c r="M155">
        <v>0.0829829484191945</v>
      </c>
      <c r="N155">
        <v>0.328240419473716</v>
      </c>
    </row>
    <row r="156" spans="1:14">
      <c r="A156" t="s">
        <v>23</v>
      </c>
      <c r="B156">
        <v>2017</v>
      </c>
      <c r="C156">
        <v>0.84375453564774</v>
      </c>
      <c r="D156">
        <v>0.875096206980945</v>
      </c>
      <c r="E156">
        <v>0.174191710582538</v>
      </c>
      <c r="F156">
        <v>0.993659111301225</v>
      </c>
      <c r="G156">
        <v>0.855249411557391</v>
      </c>
      <c r="H156">
        <v>0.877275515899942</v>
      </c>
      <c r="I156">
        <v>0.372328918322296</v>
      </c>
      <c r="J156">
        <v>0.954563924181243</v>
      </c>
      <c r="K156">
        <v>0.863536105016476</v>
      </c>
      <c r="L156">
        <v>0.936673187649549</v>
      </c>
      <c r="M156">
        <v>0.0776080213555049</v>
      </c>
      <c r="N156">
        <v>0.315352596906838</v>
      </c>
    </row>
    <row r="157" spans="1:14">
      <c r="A157" t="s">
        <v>23</v>
      </c>
      <c r="B157">
        <v>2018</v>
      </c>
      <c r="C157">
        <v>0.832641017934075</v>
      </c>
      <c r="D157">
        <v>0.86468276551043</v>
      </c>
      <c r="E157">
        <v>0.149595071927076</v>
      </c>
      <c r="F157">
        <v>0.993354080574343</v>
      </c>
      <c r="G157">
        <v>0.834680846511863</v>
      </c>
      <c r="H157">
        <v>0.926074270750612</v>
      </c>
      <c r="I157">
        <v>0.31626004415011</v>
      </c>
      <c r="J157">
        <v>0.944910169810881</v>
      </c>
      <c r="K157">
        <v>0.884011001678598</v>
      </c>
      <c r="L157">
        <v>0.931638617677287</v>
      </c>
      <c r="M157">
        <v>0.0651464420100722</v>
      </c>
      <c r="N157">
        <v>0.297044388186016</v>
      </c>
    </row>
    <row r="158" spans="1:14">
      <c r="A158" t="s">
        <v>23</v>
      </c>
      <c r="B158">
        <v>2019</v>
      </c>
      <c r="C158">
        <v>0.825075268817204</v>
      </c>
      <c r="D158">
        <v>0.855253475494703</v>
      </c>
      <c r="E158">
        <v>0.126975786924939</v>
      </c>
      <c r="F158">
        <v>0.993262968947633</v>
      </c>
      <c r="G158">
        <v>0.815134109013853</v>
      </c>
      <c r="H158">
        <v>0.938311005638429</v>
      </c>
      <c r="I158">
        <v>0.276049668874172</v>
      </c>
      <c r="J158">
        <v>0.943630942243201</v>
      </c>
      <c r="K158">
        <v>0.889849054794859</v>
      </c>
      <c r="L158">
        <v>0.975711395169579</v>
      </c>
      <c r="M158">
        <v>0.0627441529795582</v>
      </c>
      <c r="N158">
        <v>0.285191086492266</v>
      </c>
    </row>
    <row r="159" spans="1:14">
      <c r="A159" t="s">
        <v>23</v>
      </c>
      <c r="B159">
        <v>2020</v>
      </c>
      <c r="C159">
        <v>0.81719646799117</v>
      </c>
      <c r="D159">
        <v>0.842655286083456</v>
      </c>
      <c r="E159">
        <v>0.130750605326877</v>
      </c>
      <c r="F159">
        <v>0.993897399182304</v>
      </c>
      <c r="G159">
        <v>0.805450858628225</v>
      </c>
      <c r="H159">
        <v>0.972800045553047</v>
      </c>
      <c r="I159">
        <v>0.247240618101545</v>
      </c>
      <c r="J159">
        <v>0.939647689767881</v>
      </c>
      <c r="K159">
        <v>0.878603025876647</v>
      </c>
      <c r="L159">
        <v>0.974912933343256</v>
      </c>
      <c r="M159">
        <v>0.0857387930925092</v>
      </c>
      <c r="N159">
        <v>0.29153500098936</v>
      </c>
    </row>
    <row r="160" spans="1:14">
      <c r="A160" t="s">
        <v>23</v>
      </c>
      <c r="B160">
        <v>2021</v>
      </c>
      <c r="C160">
        <v>0.8007856</v>
      </c>
      <c r="D160">
        <v>0.829872973651192</v>
      </c>
      <c r="E160">
        <v>0.110693633385558</v>
      </c>
      <c r="F160">
        <v>0.993117596479474</v>
      </c>
      <c r="G160">
        <v>0.790253181888362</v>
      </c>
      <c r="H160">
        <v>0.922374334090261</v>
      </c>
      <c r="I160">
        <v>0.262693156732892</v>
      </c>
      <c r="J160">
        <v>0.922346694168007</v>
      </c>
      <c r="K160">
        <v>0.84729578383121</v>
      </c>
      <c r="L160">
        <v>0.976651301560031</v>
      </c>
      <c r="M160">
        <v>0.0863920792394922</v>
      </c>
      <c r="N160">
        <v>0.281841806961617</v>
      </c>
    </row>
    <row r="161" spans="1:14">
      <c r="A161" t="s">
        <v>23</v>
      </c>
      <c r="B161">
        <v>2022</v>
      </c>
      <c r="C161">
        <v>0.789890824997311</v>
      </c>
      <c r="D161">
        <v>0.809613980791958</v>
      </c>
      <c r="E161">
        <v>0.0965161657883492</v>
      </c>
      <c r="F161">
        <v>0.993125618507248</v>
      </c>
      <c r="G161">
        <v>0.623112605183916</v>
      </c>
      <c r="H161">
        <v>0.912374093874192</v>
      </c>
      <c r="I161">
        <v>0.253331346578366</v>
      </c>
      <c r="J161">
        <v>0.916715944327971</v>
      </c>
      <c r="K161">
        <v>0.844390453341955</v>
      </c>
      <c r="L161">
        <v>0.982799188402041</v>
      </c>
      <c r="M161">
        <v>0.093438366613939</v>
      </c>
      <c r="N161">
        <v>0.269254630431752</v>
      </c>
    </row>
    <row r="162" spans="1:14">
      <c r="A162" t="s">
        <v>24</v>
      </c>
      <c r="B162">
        <v>2003</v>
      </c>
      <c r="C162">
        <v>0.758524244998113</v>
      </c>
      <c r="D162">
        <v>0.969919625336234</v>
      </c>
      <c r="E162">
        <v>0</v>
      </c>
      <c r="F162">
        <v>0.989271499998367</v>
      </c>
      <c r="G162">
        <v>1</v>
      </c>
      <c r="H162">
        <v>0.955164271169835</v>
      </c>
      <c r="I162">
        <v>0.227373068432671</v>
      </c>
      <c r="J162">
        <v>0.453610418031886</v>
      </c>
      <c r="K162">
        <v>0.538276465941093</v>
      </c>
      <c r="L162">
        <v>0.996612176364915</v>
      </c>
      <c r="M162">
        <v>0.392115963848113</v>
      </c>
      <c r="N162">
        <v>0.319372884097925</v>
      </c>
    </row>
    <row r="163" spans="1:14">
      <c r="A163" t="s">
        <v>24</v>
      </c>
      <c r="B163">
        <v>2004</v>
      </c>
      <c r="C163">
        <v>0.744091469573116</v>
      </c>
      <c r="D163">
        <v>0.937732821308791</v>
      </c>
      <c r="E163">
        <v>0</v>
      </c>
      <c r="F163">
        <v>0.990358596907252</v>
      </c>
      <c r="G163">
        <v>0.999901528526726</v>
      </c>
      <c r="H163">
        <v>0.941994111453439</v>
      </c>
      <c r="I163">
        <v>0.17439293598234</v>
      </c>
      <c r="J163">
        <v>0.322847079195629</v>
      </c>
      <c r="K163">
        <v>0.469104366327509</v>
      </c>
      <c r="L163">
        <v>0.996844969016275</v>
      </c>
      <c r="M163">
        <v>0.347456651953447</v>
      </c>
      <c r="N163">
        <v>0.287281978463853</v>
      </c>
    </row>
    <row r="164" spans="1:14">
      <c r="A164" t="s">
        <v>24</v>
      </c>
      <c r="B164">
        <v>2005</v>
      </c>
      <c r="C164">
        <v>0.721133408024692</v>
      </c>
      <c r="D164">
        <v>0.894132759753839</v>
      </c>
      <c r="E164">
        <v>0</v>
      </c>
      <c r="F164">
        <v>0.986957203896394</v>
      </c>
      <c r="G164">
        <v>0.999731818103233</v>
      </c>
      <c r="H164">
        <v>0.92380008664827</v>
      </c>
      <c r="I164">
        <v>0.17439293598234</v>
      </c>
      <c r="J164">
        <v>0.322847079195629</v>
      </c>
      <c r="K164">
        <v>0.377451414752036</v>
      </c>
      <c r="L164">
        <v>0.975798002374799</v>
      </c>
      <c r="M164">
        <v>0.375432872393631</v>
      </c>
      <c r="N164">
        <v>0.292913613710815</v>
      </c>
    </row>
    <row r="165" spans="1:14">
      <c r="A165" t="s">
        <v>24</v>
      </c>
      <c r="B165">
        <v>2006</v>
      </c>
      <c r="C165">
        <v>0.711795880006789</v>
      </c>
      <c r="D165">
        <v>0.862566973400761</v>
      </c>
      <c r="E165">
        <v>0</v>
      </c>
      <c r="F165">
        <v>0.984289112511767</v>
      </c>
      <c r="G165">
        <v>0.977977064948388</v>
      </c>
      <c r="H165">
        <v>0.91512601413587</v>
      </c>
      <c r="I165">
        <v>0.178587196467991</v>
      </c>
      <c r="J165">
        <v>0.297297934530699</v>
      </c>
      <c r="K165">
        <v>0.329030934646717</v>
      </c>
      <c r="L165">
        <v>1</v>
      </c>
      <c r="M165">
        <v>0.350815140877871</v>
      </c>
      <c r="N165">
        <v>0.279827695515297</v>
      </c>
    </row>
    <row r="166" spans="1:14">
      <c r="A166" t="s">
        <v>24</v>
      </c>
      <c r="B166">
        <v>2007</v>
      </c>
      <c r="C166">
        <v>0.702982800468346</v>
      </c>
      <c r="D166">
        <v>0.85616422093388</v>
      </c>
      <c r="E166">
        <v>0</v>
      </c>
      <c r="F166">
        <v>0.984501887809184</v>
      </c>
      <c r="G166">
        <v>0.978422272530294</v>
      </c>
      <c r="H166">
        <v>0.926165742788016</v>
      </c>
      <c r="I166">
        <v>0.194039735099338</v>
      </c>
      <c r="J166">
        <v>0.231795560492106</v>
      </c>
      <c r="K166">
        <v>0.284069126964841</v>
      </c>
      <c r="L166">
        <v>1</v>
      </c>
      <c r="M166">
        <v>0.331327102058712</v>
      </c>
      <c r="N166">
        <v>0.267779754174976</v>
      </c>
    </row>
    <row r="167" spans="1:14">
      <c r="A167" t="s">
        <v>24</v>
      </c>
      <c r="B167">
        <v>2008</v>
      </c>
      <c r="C167">
        <v>0.696085819243345</v>
      </c>
      <c r="D167">
        <v>0.850239614472652</v>
      </c>
      <c r="E167">
        <v>0</v>
      </c>
      <c r="F167">
        <v>0.984315833287665</v>
      </c>
      <c r="G167">
        <v>0.998741299230934</v>
      </c>
      <c r="H167">
        <v>0.908817597763215</v>
      </c>
      <c r="I167">
        <v>0.188079470198675</v>
      </c>
      <c r="J167">
        <v>0.23171509074513</v>
      </c>
      <c r="K167">
        <v>0.265081395114778</v>
      </c>
      <c r="L167">
        <v>1</v>
      </c>
      <c r="M167">
        <v>0.355434894522898</v>
      </c>
      <c r="N167">
        <v>0.276023079767254</v>
      </c>
    </row>
    <row r="168" spans="1:14">
      <c r="A168" t="s">
        <v>24</v>
      </c>
      <c r="B168">
        <v>2009</v>
      </c>
      <c r="C168">
        <v>0.701652236651584</v>
      </c>
      <c r="D168">
        <v>0.837858690571828</v>
      </c>
      <c r="E168">
        <v>0</v>
      </c>
      <c r="F168">
        <v>0.98470744284461</v>
      </c>
      <c r="G168">
        <v>0.998722008797691</v>
      </c>
      <c r="H168">
        <v>0.809460039893903</v>
      </c>
      <c r="I168">
        <v>0.173289183222958</v>
      </c>
      <c r="J168">
        <v>0.211235540139698</v>
      </c>
      <c r="K168">
        <v>0.263317507456576</v>
      </c>
      <c r="L168">
        <v>1</v>
      </c>
      <c r="M168">
        <v>0.325724762395419</v>
      </c>
      <c r="N168">
        <v>0.261761083828565</v>
      </c>
    </row>
    <row r="169" spans="1:14">
      <c r="A169" t="s">
        <v>24</v>
      </c>
      <c r="B169">
        <v>2010</v>
      </c>
      <c r="C169">
        <v>0.678330141843972</v>
      </c>
      <c r="D169">
        <v>0.791102796200035</v>
      </c>
      <c r="E169">
        <v>0</v>
      </c>
      <c r="F169">
        <v>0.983976349362671</v>
      </c>
      <c r="G169">
        <v>0.997879942560577</v>
      </c>
      <c r="H169">
        <v>0.907240493670052</v>
      </c>
      <c r="I169">
        <v>0.177704194260486</v>
      </c>
      <c r="J169">
        <v>0.195704878973299</v>
      </c>
      <c r="K169">
        <v>0.237377983071244</v>
      </c>
      <c r="L169">
        <v>1</v>
      </c>
      <c r="M169">
        <v>0.30587335249197</v>
      </c>
      <c r="N169">
        <v>0.252597247951391</v>
      </c>
    </row>
    <row r="170" spans="1:14">
      <c r="A170" t="s">
        <v>24</v>
      </c>
      <c r="B170">
        <v>2011</v>
      </c>
      <c r="C170">
        <v>0.674949556876062</v>
      </c>
      <c r="D170">
        <v>0.748843383933384</v>
      </c>
      <c r="E170">
        <v>0.0018515880928642</v>
      </c>
      <c r="F170">
        <v>0.982830226479986</v>
      </c>
      <c r="G170">
        <v>0.996098763698216</v>
      </c>
      <c r="H170">
        <v>0.930108503020925</v>
      </c>
      <c r="I170">
        <v>0.157615894039735</v>
      </c>
      <c r="J170">
        <v>0.169753385573488</v>
      </c>
      <c r="K170">
        <v>0.33248960707016</v>
      </c>
      <c r="L170">
        <v>0.719791513727794</v>
      </c>
      <c r="M170">
        <v>0.0651672705109483</v>
      </c>
      <c r="N170">
        <v>0.160081603345472</v>
      </c>
    </row>
    <row r="171" spans="1:14">
      <c r="A171" t="s">
        <v>24</v>
      </c>
      <c r="B171">
        <v>2012</v>
      </c>
      <c r="C171">
        <v>0.677482418716132</v>
      </c>
      <c r="D171">
        <v>0.713472827971505</v>
      </c>
      <c r="E171">
        <v>0</v>
      </c>
      <c r="F171">
        <v>0.981412637836056</v>
      </c>
      <c r="G171">
        <v>0.993829390885462</v>
      </c>
      <c r="H171">
        <v>0.922222982555107</v>
      </c>
      <c r="I171">
        <v>0.137306843267108</v>
      </c>
      <c r="J171">
        <v>0.166816239808859</v>
      </c>
      <c r="K171">
        <v>0.310008651350173</v>
      </c>
      <c r="L171">
        <v>0.690403541535866</v>
      </c>
      <c r="M171">
        <v>0.0744885572767277</v>
      </c>
      <c r="N171">
        <v>0.15898314057796</v>
      </c>
    </row>
    <row r="172" spans="1:14">
      <c r="A172" t="s">
        <v>24</v>
      </c>
      <c r="B172">
        <v>2013</v>
      </c>
      <c r="C172">
        <v>0.670497685185185</v>
      </c>
      <c r="D172">
        <v>0.682095138478855</v>
      </c>
      <c r="E172">
        <v>0</v>
      </c>
      <c r="F172">
        <v>0.981429462466983</v>
      </c>
      <c r="G172">
        <v>0.990734563783263</v>
      </c>
      <c r="H172">
        <v>0.922222982555107</v>
      </c>
      <c r="I172">
        <v>0.201258204562185</v>
      </c>
      <c r="J172">
        <v>0.18855484689873</v>
      </c>
      <c r="K172">
        <v>0.409700226946628</v>
      </c>
      <c r="L172">
        <v>0.678399129435947</v>
      </c>
      <c r="M172">
        <v>0.0902062092349944</v>
      </c>
      <c r="N172">
        <v>0.171635731210366</v>
      </c>
    </row>
    <row r="173" spans="1:14">
      <c r="A173" t="s">
        <v>24</v>
      </c>
      <c r="B173">
        <v>2014</v>
      </c>
      <c r="C173">
        <v>0.682767869206864</v>
      </c>
      <c r="D173">
        <v>0.686709833287475</v>
      </c>
      <c r="E173">
        <v>0</v>
      </c>
      <c r="F173">
        <v>0.982573498756339</v>
      </c>
      <c r="G173">
        <v>0.990092404837548</v>
      </c>
      <c r="H173">
        <v>0.903297733437142</v>
      </c>
      <c r="I173">
        <v>0.22515447633064</v>
      </c>
      <c r="J173">
        <v>0.183787246858547</v>
      </c>
      <c r="K173">
        <v>0.454134021198794</v>
      </c>
      <c r="L173">
        <v>0.673946557040083</v>
      </c>
      <c r="M173">
        <v>0.0682898308128667</v>
      </c>
      <c r="N173">
        <v>0.166230667123365</v>
      </c>
    </row>
    <row r="174" spans="1:14">
      <c r="A174" t="s">
        <v>24</v>
      </c>
      <c r="B174">
        <v>2015</v>
      </c>
      <c r="C174">
        <v>0.673001084892867</v>
      </c>
      <c r="D174">
        <v>0.664211769011743</v>
      </c>
      <c r="E174">
        <v>0</v>
      </c>
      <c r="F174">
        <v>0.98206963097286</v>
      </c>
      <c r="G174">
        <v>0.986592767082237</v>
      </c>
      <c r="H174">
        <v>0.912760357996125</v>
      </c>
      <c r="I174">
        <v>0.329160927152318</v>
      </c>
      <c r="J174">
        <v>0.232032061078469</v>
      </c>
      <c r="K174">
        <v>0.609083378139539</v>
      </c>
      <c r="L174">
        <v>0.680326255712755</v>
      </c>
      <c r="M174">
        <v>0.0624818411334861</v>
      </c>
      <c r="N174">
        <v>0.177920134828617</v>
      </c>
    </row>
    <row r="175" spans="1:14">
      <c r="A175" t="s">
        <v>24</v>
      </c>
      <c r="B175">
        <v>2016</v>
      </c>
      <c r="C175">
        <v>0.655655992433455</v>
      </c>
      <c r="D175">
        <v>0.659154509538454</v>
      </c>
      <c r="E175">
        <v>0</v>
      </c>
      <c r="F175">
        <v>0.981516656814612</v>
      </c>
      <c r="G175">
        <v>0.983161851490737</v>
      </c>
      <c r="H175">
        <v>0.897777869111069</v>
      </c>
      <c r="I175">
        <v>0.272947019867549</v>
      </c>
      <c r="J175">
        <v>0.174252046778191</v>
      </c>
      <c r="K175">
        <v>0.543001609703125</v>
      </c>
      <c r="L175">
        <v>0.661343355468498</v>
      </c>
      <c r="M175">
        <v>0.00300546119432789</v>
      </c>
      <c r="N175">
        <v>0.145937821861431</v>
      </c>
    </row>
    <row r="176" spans="1:14">
      <c r="A176" t="s">
        <v>24</v>
      </c>
      <c r="B176">
        <v>2017</v>
      </c>
      <c r="C176">
        <v>0.646011759935118</v>
      </c>
      <c r="D176">
        <v>0.641982276399434</v>
      </c>
      <c r="E176">
        <v>0</v>
      </c>
      <c r="F176">
        <v>0.981727144017681</v>
      </c>
      <c r="G176">
        <v>0.976889905048323</v>
      </c>
      <c r="H176">
        <v>0.907240493670052</v>
      </c>
      <c r="I176">
        <v>0.243639735099338</v>
      </c>
      <c r="J176">
        <v>0.154241594562756</v>
      </c>
      <c r="K176">
        <v>0.518243578774497</v>
      </c>
      <c r="L176">
        <v>0.658825462200606</v>
      </c>
      <c r="M176">
        <v>0.000487907842733075</v>
      </c>
      <c r="N176">
        <v>0.140092569159181</v>
      </c>
    </row>
    <row r="177" spans="1:14">
      <c r="A177" t="s">
        <v>24</v>
      </c>
      <c r="B177">
        <v>2018</v>
      </c>
      <c r="C177">
        <v>0.638059932659933</v>
      </c>
      <c r="D177">
        <v>0.598759457815293</v>
      </c>
      <c r="E177">
        <v>0</v>
      </c>
      <c r="F177">
        <v>0.980751487831415</v>
      </c>
      <c r="G177">
        <v>0.971976650322307</v>
      </c>
      <c r="H177">
        <v>0.893942351956495</v>
      </c>
      <c r="I177">
        <v>0.268785651214128</v>
      </c>
      <c r="J177">
        <v>0.16727765333802</v>
      </c>
      <c r="K177">
        <v>0.493673142486223</v>
      </c>
      <c r="L177">
        <v>0.658825462200606</v>
      </c>
      <c r="M177">
        <v>0.000571310892772917</v>
      </c>
      <c r="N177">
        <v>0.140687427464155</v>
      </c>
    </row>
    <row r="178" spans="1:14">
      <c r="A178" t="s">
        <v>24</v>
      </c>
      <c r="B178">
        <v>2019</v>
      </c>
      <c r="C178">
        <v>0.638474405481661</v>
      </c>
      <c r="D178">
        <v>0.574010155980938</v>
      </c>
      <c r="E178">
        <v>0</v>
      </c>
      <c r="F178">
        <v>0.979861685513237</v>
      </c>
      <c r="G178">
        <v>0.970111496075042</v>
      </c>
      <c r="H178">
        <v>0.921934158019901</v>
      </c>
      <c r="I178">
        <v>0.241228476821192</v>
      </c>
      <c r="J178">
        <v>0.141462475689587</v>
      </c>
      <c r="K178">
        <v>0.430972020383901</v>
      </c>
      <c r="L178">
        <v>1</v>
      </c>
      <c r="M178">
        <v>0.00057200171610154</v>
      </c>
      <c r="N178">
        <v>0.142188595748034</v>
      </c>
    </row>
    <row r="179" spans="1:14">
      <c r="A179" t="s">
        <v>24</v>
      </c>
      <c r="B179">
        <v>2020</v>
      </c>
      <c r="C179">
        <v>0.63788317256163</v>
      </c>
      <c r="D179">
        <v>0.595185213995813</v>
      </c>
      <c r="E179">
        <v>0</v>
      </c>
      <c r="F179">
        <v>0.981347412329412</v>
      </c>
      <c r="G179">
        <v>0.966412793714328</v>
      </c>
      <c r="H179">
        <v>0.935643478275241</v>
      </c>
      <c r="I179">
        <v>0.231788079470199</v>
      </c>
      <c r="J179">
        <v>0.139376056089989</v>
      </c>
      <c r="K179">
        <v>0.449044502055552</v>
      </c>
      <c r="L179">
        <v>1</v>
      </c>
      <c r="M179">
        <v>0.000479460266925181</v>
      </c>
      <c r="N179">
        <v>0.142227386352095</v>
      </c>
    </row>
    <row r="180" spans="1:14">
      <c r="A180" t="s">
        <v>24</v>
      </c>
      <c r="B180">
        <v>2021</v>
      </c>
      <c r="C180">
        <v>0.598064818534887</v>
      </c>
      <c r="D180">
        <v>0.580231909989903</v>
      </c>
      <c r="E180">
        <v>0</v>
      </c>
      <c r="F180">
        <v>0.980808083869463</v>
      </c>
      <c r="G180">
        <v>0.966213821461908</v>
      </c>
      <c r="H180">
        <v>0.9247512156154</v>
      </c>
      <c r="I180">
        <v>0.209713024282561</v>
      </c>
      <c r="J180">
        <v>0.12971968645285</v>
      </c>
      <c r="K180">
        <v>0.403929651179802</v>
      </c>
      <c r="L180">
        <v>1</v>
      </c>
      <c r="M180">
        <v>0.00045447792996801</v>
      </c>
      <c r="N180">
        <v>0.137700859074072</v>
      </c>
    </row>
    <row r="181" spans="1:14">
      <c r="A181" t="s">
        <v>24</v>
      </c>
      <c r="B181">
        <v>2022</v>
      </c>
      <c r="C181">
        <v>0.596715151515152</v>
      </c>
      <c r="D181">
        <v>0.589733596948151</v>
      </c>
      <c r="E181">
        <v>0</v>
      </c>
      <c r="F181">
        <v>0.982103464001352</v>
      </c>
      <c r="G181">
        <v>0.966448220382216</v>
      </c>
      <c r="H181">
        <v>0.923466899906107</v>
      </c>
      <c r="I181">
        <v>0.198939955849889</v>
      </c>
      <c r="J181">
        <v>0.130844412106335</v>
      </c>
      <c r="K181">
        <v>0.391310383840631</v>
      </c>
      <c r="L181">
        <v>1</v>
      </c>
      <c r="M181">
        <v>0.000338631547352675</v>
      </c>
      <c r="N181">
        <v>0.136911459297452</v>
      </c>
    </row>
    <row r="182" spans="1:14">
      <c r="A182" t="s">
        <v>25</v>
      </c>
      <c r="B182">
        <v>2003</v>
      </c>
      <c r="C182">
        <v>0.884631105300796</v>
      </c>
      <c r="D182">
        <v>0.999111439788453</v>
      </c>
      <c r="E182">
        <v>0.162391539666714</v>
      </c>
      <c r="F182">
        <v>0.993403934574437</v>
      </c>
      <c r="G182">
        <v>0.997005716431675</v>
      </c>
      <c r="H182">
        <v>0.821876186143357</v>
      </c>
      <c r="I182">
        <v>0.485871964679912</v>
      </c>
      <c r="J182">
        <v>0.634104060499409</v>
      </c>
      <c r="K182">
        <v>0.908448731360117</v>
      </c>
      <c r="L182">
        <v>0.959806007219074</v>
      </c>
      <c r="M182">
        <v>0.0429303595922085</v>
      </c>
      <c r="N182">
        <v>0.294189547670174</v>
      </c>
    </row>
    <row r="183" spans="1:14">
      <c r="A183" t="s">
        <v>25</v>
      </c>
      <c r="B183">
        <v>2004</v>
      </c>
      <c r="C183">
        <v>0.861692753932385</v>
      </c>
      <c r="D183">
        <v>0.995538754344477</v>
      </c>
      <c r="E183">
        <v>0.114280444381142</v>
      </c>
      <c r="F183">
        <v>0.995435247925798</v>
      </c>
      <c r="G183">
        <v>0.997826508125874</v>
      </c>
      <c r="H183">
        <v>0.783556341729303</v>
      </c>
      <c r="I183">
        <v>0.450551876379691</v>
      </c>
      <c r="J183">
        <v>0.501409447735724</v>
      </c>
      <c r="K183">
        <v>0.895021188441099</v>
      </c>
      <c r="L183">
        <v>0.947190872153041</v>
      </c>
      <c r="M183">
        <v>0.0389581932729638</v>
      </c>
      <c r="N183">
        <v>0.261874869864331</v>
      </c>
    </row>
    <row r="184" spans="1:14">
      <c r="A184" t="s">
        <v>25</v>
      </c>
      <c r="B184">
        <v>2005</v>
      </c>
      <c r="C184">
        <v>0.834749112238623</v>
      </c>
      <c r="D184">
        <v>0.980814755550764</v>
      </c>
      <c r="E184">
        <v>0.0696755447941888</v>
      </c>
      <c r="F184">
        <v>0.991037826428913</v>
      </c>
      <c r="G184">
        <v>0.997304806978237</v>
      </c>
      <c r="H184">
        <v>0.781072166216956</v>
      </c>
      <c r="I184">
        <v>0.450551876379691</v>
      </c>
      <c r="J184">
        <v>0.501409447735724</v>
      </c>
      <c r="K184">
        <v>0.868776511490898</v>
      </c>
      <c r="L184">
        <v>0.915887919513773</v>
      </c>
      <c r="M184">
        <v>0.04133496048133</v>
      </c>
      <c r="N184">
        <v>0.244697613154436</v>
      </c>
    </row>
    <row r="185" spans="1:14">
      <c r="A185" t="s">
        <v>25</v>
      </c>
      <c r="B185">
        <v>2006</v>
      </c>
      <c r="C185">
        <v>0.808118896094566</v>
      </c>
      <c r="D185">
        <v>0.956302160564237</v>
      </c>
      <c r="E185">
        <v>0.282011109528557</v>
      </c>
      <c r="F185">
        <v>0.989447769547729</v>
      </c>
      <c r="G185">
        <v>0.990924549068464</v>
      </c>
      <c r="H185">
        <v>0.802363071474666</v>
      </c>
      <c r="I185">
        <v>0.427814569536424</v>
      </c>
      <c r="J185">
        <v>0.468658260716428</v>
      </c>
      <c r="K185">
        <v>0.773258051991523</v>
      </c>
      <c r="L185">
        <v>0.908281124993338</v>
      </c>
      <c r="M185">
        <v>0.0416394302726343</v>
      </c>
      <c r="N185">
        <v>0.312498123534434</v>
      </c>
    </row>
    <row r="186" spans="1:14">
      <c r="A186" t="s">
        <v>25</v>
      </c>
      <c r="B186">
        <v>2007</v>
      </c>
      <c r="C186">
        <v>0.78148760783806</v>
      </c>
      <c r="D186">
        <v>0.938301929691997</v>
      </c>
      <c r="E186">
        <v>0.0368893320039881</v>
      </c>
      <c r="F186">
        <v>0.985496726908407</v>
      </c>
      <c r="G186">
        <v>0.958910660204148</v>
      </c>
      <c r="H186">
        <v>0.878064067946523</v>
      </c>
      <c r="I186">
        <v>0.346136865342163</v>
      </c>
      <c r="J186">
        <v>0.432648048944597</v>
      </c>
      <c r="K186">
        <v>0.728092774680368</v>
      </c>
      <c r="L186">
        <v>0.883162487323763</v>
      </c>
      <c r="M186">
        <v>0.0386150830023907</v>
      </c>
      <c r="N186">
        <v>0.212790025910283</v>
      </c>
    </row>
    <row r="187" spans="1:14">
      <c r="A187" t="s">
        <v>25</v>
      </c>
      <c r="B187">
        <v>2008</v>
      </c>
      <c r="C187">
        <v>0.770337475564717</v>
      </c>
      <c r="D187">
        <v>0.913067993719685</v>
      </c>
      <c r="E187">
        <v>0.0252100840336134</v>
      </c>
      <c r="F187">
        <v>0.986146838349445</v>
      </c>
      <c r="G187">
        <v>0.94731506722066</v>
      </c>
      <c r="H187">
        <v>0.845733434036668</v>
      </c>
      <c r="I187">
        <v>0.345033112582781</v>
      </c>
      <c r="J187">
        <v>0.375554763465013</v>
      </c>
      <c r="K187">
        <v>0.79518151545342</v>
      </c>
      <c r="L187">
        <v>0.875247121968944</v>
      </c>
      <c r="M187">
        <v>0.0377586302489702</v>
      </c>
      <c r="N187">
        <v>0.203700798078685</v>
      </c>
    </row>
    <row r="188" spans="1:14">
      <c r="A188" t="s">
        <v>25</v>
      </c>
      <c r="B188">
        <v>2009</v>
      </c>
      <c r="C188">
        <v>0.757426996350832</v>
      </c>
      <c r="D188">
        <v>0.913191704406891</v>
      </c>
      <c r="E188">
        <v>0.0229312063808574</v>
      </c>
      <c r="F188">
        <v>0.987019665188842</v>
      </c>
      <c r="G188">
        <v>0.946680271208509</v>
      </c>
      <c r="H188">
        <v>0.792900446915684</v>
      </c>
      <c r="I188">
        <v>0.309713024282561</v>
      </c>
      <c r="J188">
        <v>0.340952772265265</v>
      </c>
      <c r="K188">
        <v>0.771109636823832</v>
      </c>
      <c r="L188">
        <v>0.845427642393069</v>
      </c>
      <c r="M188">
        <v>0.0408183710841598</v>
      </c>
      <c r="N188">
        <v>0.196980336099788</v>
      </c>
    </row>
    <row r="189" spans="1:14">
      <c r="A189" t="s">
        <v>25</v>
      </c>
      <c r="B189">
        <v>2010</v>
      </c>
      <c r="C189">
        <v>0.719261466937773</v>
      </c>
      <c r="D189">
        <v>0.902785952867158</v>
      </c>
      <c r="E189">
        <v>0.012533827090158</v>
      </c>
      <c r="F189">
        <v>0.985863205961028</v>
      </c>
      <c r="G189">
        <v>0.944518599710467</v>
      </c>
      <c r="H189">
        <v>0.850464746316159</v>
      </c>
      <c r="I189">
        <v>0.285651214128035</v>
      </c>
      <c r="J189">
        <v>0.313552823419883</v>
      </c>
      <c r="K189">
        <v>0.749759851883241</v>
      </c>
      <c r="L189">
        <v>0.80696901445409</v>
      </c>
      <c r="M189">
        <v>0.0313643799311094</v>
      </c>
      <c r="N189">
        <v>0.184403293537873</v>
      </c>
    </row>
    <row r="190" spans="1:14">
      <c r="A190" t="s">
        <v>25</v>
      </c>
      <c r="B190">
        <v>2011</v>
      </c>
      <c r="C190">
        <v>0.694919641135901</v>
      </c>
      <c r="D190">
        <v>0.875835720734507</v>
      </c>
      <c r="E190">
        <v>0.0138156957698333</v>
      </c>
      <c r="F190">
        <v>0.985226166760457</v>
      </c>
      <c r="G190">
        <v>0.948605452198236</v>
      </c>
      <c r="H190">
        <v>0.811037143987066</v>
      </c>
      <c r="I190">
        <v>0.2560706401766</v>
      </c>
      <c r="J190">
        <v>0.211557419127603</v>
      </c>
      <c r="K190">
        <v>0.655462106401439</v>
      </c>
      <c r="L190">
        <v>0.776977405701985</v>
      </c>
      <c r="M190">
        <v>0.0182914193837326</v>
      </c>
      <c r="N190">
        <v>0.166371023693664</v>
      </c>
    </row>
    <row r="191" spans="1:14">
      <c r="A191" t="s">
        <v>25</v>
      </c>
      <c r="B191">
        <v>2012</v>
      </c>
      <c r="C191">
        <v>0.677493813505747</v>
      </c>
      <c r="D191">
        <v>0.852006127890303</v>
      </c>
      <c r="E191">
        <v>0.00811850163794321</v>
      </c>
      <c r="F191">
        <v>0.984566136169607</v>
      </c>
      <c r="G191">
        <v>0.948257953594845</v>
      </c>
      <c r="H191">
        <v>0.728239179095973</v>
      </c>
      <c r="I191">
        <v>0.229139072847682</v>
      </c>
      <c r="J191">
        <v>0.202504572592785</v>
      </c>
      <c r="K191">
        <v>0.619146772261974</v>
      </c>
      <c r="L191">
        <v>0.752914236995414</v>
      </c>
      <c r="M191">
        <v>0.0205595934235172</v>
      </c>
      <c r="N191">
        <v>0.159558062047022</v>
      </c>
    </row>
    <row r="192" spans="1:14">
      <c r="A192" t="s">
        <v>25</v>
      </c>
      <c r="B192">
        <v>2013</v>
      </c>
      <c r="C192">
        <v>0.654083048502604</v>
      </c>
      <c r="D192">
        <v>0.8384979324628</v>
      </c>
      <c r="E192">
        <v>0.00583962398518725</v>
      </c>
      <c r="F192">
        <v>0.984373656464138</v>
      </c>
      <c r="G192">
        <v>0.947524607778625</v>
      </c>
      <c r="H192">
        <v>0.736124699561791</v>
      </c>
      <c r="I192">
        <v>0.235048344370861</v>
      </c>
      <c r="J192">
        <v>0.207765791943083</v>
      </c>
      <c r="K192">
        <v>0.63680518995237</v>
      </c>
      <c r="L192">
        <v>0.729325310993675</v>
      </c>
      <c r="M192">
        <v>0.0200537655294009</v>
      </c>
      <c r="N192">
        <v>0.158573332611023</v>
      </c>
    </row>
    <row r="193" spans="1:14">
      <c r="A193" t="s">
        <v>25</v>
      </c>
      <c r="B193">
        <v>2014</v>
      </c>
      <c r="C193">
        <v>0.653934911242604</v>
      </c>
      <c r="D193">
        <v>0.836284047002124</v>
      </c>
      <c r="E193">
        <v>0.00726392251815988</v>
      </c>
      <c r="F193">
        <v>0.984584086569196</v>
      </c>
      <c r="G193">
        <v>0.942463942536361</v>
      </c>
      <c r="H193">
        <v>0.714833794304081</v>
      </c>
      <c r="I193">
        <v>0.224920382634282</v>
      </c>
      <c r="J193">
        <v>0.19562434663874</v>
      </c>
      <c r="K193">
        <v>0.632678373024149</v>
      </c>
      <c r="L193">
        <v>0.698986002345006</v>
      </c>
      <c r="M193">
        <v>0.0212762771966925</v>
      </c>
      <c r="N193">
        <v>0.156655615900448</v>
      </c>
    </row>
    <row r="194" spans="1:14">
      <c r="A194" t="s">
        <v>25</v>
      </c>
      <c r="B194">
        <v>2015</v>
      </c>
      <c r="C194">
        <v>0.648337342152736</v>
      </c>
      <c r="D194">
        <v>0.790857232209481</v>
      </c>
      <c r="E194">
        <v>0.00626691354507902</v>
      </c>
      <c r="F194">
        <v>0.983916491380891</v>
      </c>
      <c r="G194">
        <v>0.938051787499845</v>
      </c>
      <c r="H194">
        <v>0.549237864521894</v>
      </c>
      <c r="I194">
        <v>0.246866887417219</v>
      </c>
      <c r="J194">
        <v>0.218288230643676</v>
      </c>
      <c r="K194">
        <v>0.672122025333162</v>
      </c>
      <c r="L194">
        <v>0.676238460634695</v>
      </c>
      <c r="M194">
        <v>0.0249051011254195</v>
      </c>
      <c r="N194">
        <v>0.158254606379997</v>
      </c>
    </row>
    <row r="195" spans="1:14">
      <c r="A195" t="s">
        <v>25</v>
      </c>
      <c r="B195">
        <v>2016</v>
      </c>
      <c r="C195">
        <v>0.627642484985881</v>
      </c>
      <c r="D195">
        <v>0.783449397177131</v>
      </c>
      <c r="E195">
        <v>0.00655177325167346</v>
      </c>
      <c r="F195">
        <v>0.98505575330223</v>
      </c>
      <c r="G195">
        <v>0.933485316111737</v>
      </c>
      <c r="H195">
        <v>0.711679586117754</v>
      </c>
      <c r="I195">
        <v>0.204664459161148</v>
      </c>
      <c r="J195">
        <v>0.171341456030063</v>
      </c>
      <c r="K195">
        <v>0.624424739167706</v>
      </c>
      <c r="L195">
        <v>0.645994856517683</v>
      </c>
      <c r="M195">
        <v>0.00791177991394771</v>
      </c>
      <c r="N195">
        <v>0.144924016911605</v>
      </c>
    </row>
    <row r="196" spans="1:14">
      <c r="A196" t="s">
        <v>25</v>
      </c>
      <c r="B196">
        <v>2017</v>
      </c>
      <c r="C196">
        <v>0.605812655823341</v>
      </c>
      <c r="D196">
        <v>0.703695917002067</v>
      </c>
      <c r="E196">
        <v>0.00384560603902572</v>
      </c>
      <c r="F196">
        <v>0.983887249808171</v>
      </c>
      <c r="G196">
        <v>0.917242679015625</v>
      </c>
      <c r="H196">
        <v>0.743221667981028</v>
      </c>
      <c r="I196">
        <v>0.181581015452538</v>
      </c>
      <c r="J196">
        <v>0.150802760160603</v>
      </c>
      <c r="K196">
        <v>0.59529838857449</v>
      </c>
      <c r="L196">
        <v>0.626954032770144</v>
      </c>
      <c r="M196">
        <v>0.00802188863556454</v>
      </c>
      <c r="N196">
        <v>0.136985987142793</v>
      </c>
    </row>
    <row r="197" spans="1:14">
      <c r="A197" t="s">
        <v>25</v>
      </c>
      <c r="B197">
        <v>2018</v>
      </c>
      <c r="C197">
        <v>0.58522693188097</v>
      </c>
      <c r="D197">
        <v>0.658691250875367</v>
      </c>
      <c r="E197">
        <v>0.00266201395812554</v>
      </c>
      <c r="F197">
        <v>0.983485858277545</v>
      </c>
      <c r="G197">
        <v>0.886825762991269</v>
      </c>
      <c r="H197">
        <v>0.836684010750094</v>
      </c>
      <c r="I197">
        <v>0.109974392935982</v>
      </c>
      <c r="J197">
        <v>0.116126575854143</v>
      </c>
      <c r="K197">
        <v>0.598983357408671</v>
      </c>
      <c r="L197">
        <v>0.630147141754625</v>
      </c>
      <c r="M197">
        <v>0.00734194699284544</v>
      </c>
      <c r="N197">
        <v>0.126931817003616</v>
      </c>
    </row>
    <row r="198" spans="1:14">
      <c r="A198" t="s">
        <v>25</v>
      </c>
      <c r="B198">
        <v>2019</v>
      </c>
      <c r="C198">
        <v>0.577173219978746</v>
      </c>
      <c r="D198">
        <v>0.644145124154177</v>
      </c>
      <c r="E198">
        <v>0.00329796325309783</v>
      </c>
      <c r="F198">
        <v>0.982819626613043</v>
      </c>
      <c r="G198">
        <v>0.862017849908631</v>
      </c>
      <c r="H198">
        <v>0.8451008575849</v>
      </c>
      <c r="I198">
        <v>0.0765059602649005</v>
      </c>
      <c r="J198">
        <v>0.0895095976468393</v>
      </c>
      <c r="K198">
        <v>0.585800372325557</v>
      </c>
      <c r="L198">
        <v>0.515522891659718</v>
      </c>
      <c r="M198">
        <v>0.00584667789309586</v>
      </c>
      <c r="N198">
        <v>0.117959280753172</v>
      </c>
    </row>
    <row r="199" spans="1:14">
      <c r="A199" t="s">
        <v>25</v>
      </c>
      <c r="B199">
        <v>2020</v>
      </c>
      <c r="C199">
        <v>0.570154142581888</v>
      </c>
      <c r="D199">
        <v>0.655374998760392</v>
      </c>
      <c r="E199">
        <v>0.00113943882637798</v>
      </c>
      <c r="F199">
        <v>0.982370534307082</v>
      </c>
      <c r="G199">
        <v>0.845383717906274</v>
      </c>
      <c r="H199">
        <v>0.716365185246553</v>
      </c>
      <c r="I199">
        <v>0.0662251655629139</v>
      </c>
      <c r="J199">
        <v>0.0842542794113203</v>
      </c>
      <c r="K199">
        <v>0.542426789842746</v>
      </c>
      <c r="L199">
        <v>0.493162568377741</v>
      </c>
      <c r="M199">
        <v>0.00246262829089564</v>
      </c>
      <c r="N199">
        <v>0.111465856956965</v>
      </c>
    </row>
    <row r="200" spans="1:14">
      <c r="A200" t="s">
        <v>25</v>
      </c>
      <c r="B200">
        <v>2021</v>
      </c>
      <c r="C200">
        <v>0.522703703703704</v>
      </c>
      <c r="D200">
        <v>0.628233060189703</v>
      </c>
      <c r="E200">
        <v>0.00117362199116945</v>
      </c>
      <c r="F200">
        <v>0.981299698957032</v>
      </c>
      <c r="G200">
        <v>0.807609936651137</v>
      </c>
      <c r="H200">
        <v>0.804982504241844</v>
      </c>
      <c r="I200">
        <v>0.0596026490066226</v>
      </c>
      <c r="J200">
        <v>0.0440194059232412</v>
      </c>
      <c r="K200">
        <v>0.448788945861307</v>
      </c>
      <c r="L200">
        <v>0.488096011071494</v>
      </c>
      <c r="M200">
        <v>0.00249200370371425</v>
      </c>
      <c r="N200">
        <v>0.103120282061621</v>
      </c>
    </row>
    <row r="201" spans="1:14">
      <c r="A201" t="s">
        <v>25</v>
      </c>
      <c r="B201">
        <v>2022</v>
      </c>
      <c r="C201">
        <v>0.503190448228616</v>
      </c>
      <c r="D201">
        <v>0.616719609133193</v>
      </c>
      <c r="E201">
        <v>0.00110667996011954</v>
      </c>
      <c r="F201">
        <v>0.980245493722371</v>
      </c>
      <c r="G201">
        <v>0.81094952339366</v>
      </c>
      <c r="H201">
        <v>0.707563782401323</v>
      </c>
      <c r="I201">
        <v>0.0494130242825608</v>
      </c>
      <c r="J201">
        <v>0.0396143712691459</v>
      </c>
      <c r="K201">
        <v>0.434402470604812</v>
      </c>
      <c r="L201">
        <v>0.495421844342707</v>
      </c>
      <c r="M201">
        <v>0.00199512633088614</v>
      </c>
      <c r="N201">
        <v>0.100297009220581</v>
      </c>
    </row>
    <row r="202" spans="1:14">
      <c r="A202" t="s">
        <v>26</v>
      </c>
      <c r="B202">
        <v>2003</v>
      </c>
      <c r="C202">
        <v>0.854930608743394</v>
      </c>
      <c r="D202">
        <v>1</v>
      </c>
      <c r="E202">
        <v>0.0448557185586099</v>
      </c>
      <c r="F202">
        <v>0.996704775086505</v>
      </c>
      <c r="G202">
        <v>0.760589339972604</v>
      </c>
      <c r="H202">
        <v>0.922342132769345</v>
      </c>
      <c r="I202">
        <v>0.30242825607064</v>
      </c>
      <c r="J202">
        <v>0.576608426284944</v>
      </c>
      <c r="K202">
        <v>0.704865901997157</v>
      </c>
      <c r="L202">
        <v>0.946682731175124</v>
      </c>
      <c r="M202">
        <v>0.0286255340467814</v>
      </c>
      <c r="N202">
        <v>0.214207455155648</v>
      </c>
    </row>
    <row r="203" spans="1:14">
      <c r="A203" t="s">
        <v>26</v>
      </c>
      <c r="B203">
        <v>2004</v>
      </c>
      <c r="C203">
        <v>0.839389524534687</v>
      </c>
      <c r="D203">
        <v>0.999305517518104</v>
      </c>
      <c r="E203">
        <v>0.0254171770403077</v>
      </c>
      <c r="F203">
        <v>0.997957007730437</v>
      </c>
      <c r="G203">
        <v>0.756532396843163</v>
      </c>
      <c r="H203">
        <v>0.869447954009547</v>
      </c>
      <c r="I203">
        <v>0.320309050772627</v>
      </c>
      <c r="J203">
        <v>0.408989943333607</v>
      </c>
      <c r="K203">
        <v>0.681424250052035</v>
      </c>
      <c r="L203">
        <v>0.932608539129859</v>
      </c>
      <c r="M203">
        <v>0.0261004976393719</v>
      </c>
      <c r="N203">
        <v>0.19312127266358</v>
      </c>
    </row>
    <row r="204" spans="1:14">
      <c r="A204" t="s">
        <v>26</v>
      </c>
      <c r="B204">
        <v>2005</v>
      </c>
      <c r="C204">
        <v>0.811890397381954</v>
      </c>
      <c r="D204">
        <v>0.995181492935716</v>
      </c>
      <c r="E204">
        <v>0.0217920524141859</v>
      </c>
      <c r="F204">
        <v>0.99658840501879</v>
      </c>
      <c r="G204">
        <v>0.751736676370254</v>
      </c>
      <c r="H204">
        <v>0.799208863288339</v>
      </c>
      <c r="I204">
        <v>0.320309050772627</v>
      </c>
      <c r="J204">
        <v>0.408989943333607</v>
      </c>
      <c r="K204">
        <v>0.611867830445158</v>
      </c>
      <c r="L204">
        <v>0.913503313847458</v>
      </c>
      <c r="M204">
        <v>0.0298762057731379</v>
      </c>
      <c r="N204">
        <v>0.18958696550373</v>
      </c>
    </row>
    <row r="205" spans="1:14">
      <c r="A205" t="s">
        <v>26</v>
      </c>
      <c r="B205">
        <v>2006</v>
      </c>
      <c r="C205">
        <v>0.784809935429811</v>
      </c>
      <c r="D205">
        <v>0.974943514149076</v>
      </c>
      <c r="E205">
        <v>0.425437971798889</v>
      </c>
      <c r="F205">
        <v>0.995242256868692</v>
      </c>
      <c r="G205">
        <v>0.794313611868085</v>
      </c>
      <c r="H205">
        <v>0.800785967381503</v>
      </c>
      <c r="I205">
        <v>0.287637969094923</v>
      </c>
      <c r="J205">
        <v>0.386740058294699</v>
      </c>
      <c r="K205">
        <v>0.577281832517414</v>
      </c>
      <c r="L205">
        <v>0.870532948074903</v>
      </c>
      <c r="M205">
        <v>0.0304128432666971</v>
      </c>
      <c r="N205">
        <v>0.328490503426874</v>
      </c>
    </row>
    <row r="206" spans="1:14">
      <c r="A206" t="s">
        <v>26</v>
      </c>
      <c r="B206">
        <v>2007</v>
      </c>
      <c r="C206">
        <v>0.757208930455868</v>
      </c>
      <c r="D206">
        <v>0.96249169411968</v>
      </c>
      <c r="E206">
        <v>0.0316194274319897</v>
      </c>
      <c r="F206">
        <v>0.993433138444365</v>
      </c>
      <c r="G206">
        <v>0.828250885205522</v>
      </c>
      <c r="H206">
        <v>0.742433115934446</v>
      </c>
      <c r="I206">
        <v>0.270640176600441</v>
      </c>
      <c r="J206">
        <v>0.352138067094951</v>
      </c>
      <c r="K206">
        <v>0.529245672405389</v>
      </c>
      <c r="L206">
        <v>0.853467465633762</v>
      </c>
      <c r="M206">
        <v>0.0219436579571363</v>
      </c>
      <c r="N206">
        <v>0.180799130704725</v>
      </c>
    </row>
    <row r="207" spans="1:14">
      <c r="A207" t="s">
        <v>26</v>
      </c>
      <c r="B207">
        <v>2008</v>
      </c>
      <c r="C207">
        <v>0.745220955679202</v>
      </c>
      <c r="D207">
        <v>0.963707226549147</v>
      </c>
      <c r="E207">
        <v>0.0324740065517733</v>
      </c>
      <c r="F207">
        <v>0.992760271311042</v>
      </c>
      <c r="G207">
        <v>0.818998357542954</v>
      </c>
      <c r="H207">
        <v>0.805517279660994</v>
      </c>
      <c r="I207">
        <v>0.318543046357616</v>
      </c>
      <c r="J207">
        <v>0.313070004938026</v>
      </c>
      <c r="K207">
        <v>0.486604933365512</v>
      </c>
      <c r="L207">
        <v>0.833843642603694</v>
      </c>
      <c r="M207">
        <v>0.0246632676273803</v>
      </c>
      <c r="N207">
        <v>0.180904001368974</v>
      </c>
    </row>
    <row r="208" spans="1:14">
      <c r="A208" t="s">
        <v>26</v>
      </c>
      <c r="B208">
        <v>2009</v>
      </c>
      <c r="C208">
        <v>0.732214061978772</v>
      </c>
      <c r="D208">
        <v>0.961329682159596</v>
      </c>
      <c r="E208">
        <v>0.0294829796325309</v>
      </c>
      <c r="F208">
        <v>0.992673225009036</v>
      </c>
      <c r="G208">
        <v>0.823960828024251</v>
      </c>
      <c r="H208">
        <v>0.758204156866083</v>
      </c>
      <c r="I208">
        <v>0.288520971302428</v>
      </c>
      <c r="J208">
        <v>0.275571102847136</v>
      </c>
      <c r="K208">
        <v>0.45122342210392</v>
      </c>
      <c r="L208">
        <v>0.812814519722744</v>
      </c>
      <c r="M208">
        <v>0.0233895285896418</v>
      </c>
      <c r="N208">
        <v>0.172723164030689</v>
      </c>
    </row>
    <row r="209" spans="1:14">
      <c r="A209" t="s">
        <v>26</v>
      </c>
      <c r="B209">
        <v>2010</v>
      </c>
      <c r="C209">
        <v>0.703941316320911</v>
      </c>
      <c r="D209">
        <v>0.937595195958707</v>
      </c>
      <c r="E209">
        <v>0.0132459763566444</v>
      </c>
      <c r="F209">
        <v>0.991634710536937</v>
      </c>
      <c r="G209">
        <v>0.810621411158841</v>
      </c>
      <c r="H209">
        <v>0.753472844586592</v>
      </c>
      <c r="I209">
        <v>0.263134657836645</v>
      </c>
      <c r="J209">
        <v>0.249820783814766</v>
      </c>
      <c r="K209">
        <v>0.406273131570871</v>
      </c>
      <c r="L209">
        <v>0.777577077505858</v>
      </c>
      <c r="M209">
        <v>0.0226552511178539</v>
      </c>
      <c r="N209">
        <v>0.159418933343127</v>
      </c>
    </row>
    <row r="210" spans="1:14">
      <c r="A210" t="s">
        <v>26</v>
      </c>
      <c r="B210">
        <v>2011</v>
      </c>
      <c r="C210">
        <v>0.680101337372831</v>
      </c>
      <c r="D210">
        <v>0.917491269409072</v>
      </c>
      <c r="E210">
        <v>0.00940037031761852</v>
      </c>
      <c r="F210">
        <v>0.991013097594393</v>
      </c>
      <c r="G210">
        <v>0.839678064946523</v>
      </c>
      <c r="H210">
        <v>0.687234472673717</v>
      </c>
      <c r="I210">
        <v>0.270640176600441</v>
      </c>
      <c r="J210">
        <v>0.193089612196574</v>
      </c>
      <c r="K210">
        <v>0.383215799619042</v>
      </c>
      <c r="L210">
        <v>0.754353252092204</v>
      </c>
      <c r="M210">
        <v>0.0134102154495169</v>
      </c>
      <c r="N210">
        <v>0.149851030406745</v>
      </c>
    </row>
    <row r="211" spans="1:14">
      <c r="A211" t="s">
        <v>26</v>
      </c>
      <c r="B211">
        <v>2012</v>
      </c>
      <c r="C211">
        <v>0.677156443770155</v>
      </c>
      <c r="D211">
        <v>0.911257650721869</v>
      </c>
      <c r="E211">
        <v>0.00726392251815988</v>
      </c>
      <c r="F211">
        <v>0.98942511366264</v>
      </c>
      <c r="G211">
        <v>0.798249763980343</v>
      </c>
      <c r="H211">
        <v>0.687234472673717</v>
      </c>
      <c r="I211">
        <v>0.252538631346578</v>
      </c>
      <c r="J211">
        <v>0.180093748059925</v>
      </c>
      <c r="K211">
        <v>0.358621291452138</v>
      </c>
      <c r="L211">
        <v>0.732292524038075</v>
      </c>
      <c r="M211">
        <v>0.0132538097456902</v>
      </c>
      <c r="N211">
        <v>0.143517804184188</v>
      </c>
    </row>
    <row r="212" spans="1:14">
      <c r="A212" t="s">
        <v>26</v>
      </c>
      <c r="B212">
        <v>2013</v>
      </c>
      <c r="C212">
        <v>0.658719744121715</v>
      </c>
      <c r="D212">
        <v>0.897438999073288</v>
      </c>
      <c r="E212">
        <v>0.00284859706594506</v>
      </c>
      <c r="F212">
        <v>0.989345719181182</v>
      </c>
      <c r="G212">
        <v>0.813544516473524</v>
      </c>
      <c r="H212">
        <v>0.680926056301062</v>
      </c>
      <c r="I212">
        <v>0.285203458425314</v>
      </c>
      <c r="J212">
        <v>0.205265516434787</v>
      </c>
      <c r="K212">
        <v>0.38186798193198</v>
      </c>
      <c r="L212">
        <v>0.709781551556454</v>
      </c>
      <c r="M212">
        <v>0.0124740162563116</v>
      </c>
      <c r="N212">
        <v>0.145899631056965</v>
      </c>
    </row>
    <row r="213" spans="1:14">
      <c r="A213" t="s">
        <v>26</v>
      </c>
      <c r="B213">
        <v>2014</v>
      </c>
      <c r="C213">
        <v>0.659717600452745</v>
      </c>
      <c r="D213">
        <v>0.861176275421626</v>
      </c>
      <c r="E213">
        <v>0.00270616721264774</v>
      </c>
      <c r="F213">
        <v>0.986380557722768</v>
      </c>
      <c r="G213">
        <v>0.803164347807567</v>
      </c>
      <c r="H213">
        <v>0.615476236434769</v>
      </c>
      <c r="I213">
        <v>0.29627471179789</v>
      </c>
      <c r="J213">
        <v>0.203271467163632</v>
      </c>
      <c r="K213">
        <v>0.387835940186362</v>
      </c>
      <c r="L213">
        <v>0.692589450034657</v>
      </c>
      <c r="M213">
        <v>0.0118435948964773</v>
      </c>
      <c r="N213">
        <v>0.144019683989102</v>
      </c>
    </row>
    <row r="214" spans="1:14">
      <c r="A214" t="s">
        <v>26</v>
      </c>
      <c r="B214">
        <v>2015</v>
      </c>
      <c r="C214">
        <v>0.660534113060429</v>
      </c>
      <c r="D214">
        <v>0.860700999676103</v>
      </c>
      <c r="E214">
        <v>0.00128186867967531</v>
      </c>
      <c r="F214">
        <v>0.987635898808102</v>
      </c>
      <c r="G214">
        <v>0.747476334604406</v>
      </c>
      <c r="H214">
        <v>0.624938860993751</v>
      </c>
      <c r="I214">
        <v>0.350533112582781</v>
      </c>
      <c r="J214">
        <v>0.255609053184508</v>
      </c>
      <c r="K214">
        <v>0.428361362891663</v>
      </c>
      <c r="L214">
        <v>0.671643297606813</v>
      </c>
      <c r="M214">
        <v>0.0117810319888647</v>
      </c>
      <c r="N214">
        <v>0.148996199679037</v>
      </c>
    </row>
    <row r="215" spans="1:14">
      <c r="A215" t="s">
        <v>26</v>
      </c>
      <c r="B215">
        <v>2016</v>
      </c>
      <c r="C215">
        <v>0.635364789196311</v>
      </c>
      <c r="D215">
        <v>0.851695032363623</v>
      </c>
      <c r="E215">
        <v>0.000712149266486215</v>
      </c>
      <c r="F215">
        <v>0.987157102728667</v>
      </c>
      <c r="G215">
        <v>0.741520470282173</v>
      </c>
      <c r="H215">
        <v>0.699062753372444</v>
      </c>
      <c r="I215">
        <v>0.318417218543046</v>
      </c>
      <c r="J215">
        <v>0.199283368621329</v>
      </c>
      <c r="K215">
        <v>0.399771856695126</v>
      </c>
      <c r="L215">
        <v>0.651256370996498</v>
      </c>
      <c r="M215">
        <v>0.0071571931804101</v>
      </c>
      <c r="N215">
        <v>0.139344426623083</v>
      </c>
    </row>
    <row r="216" spans="1:14">
      <c r="A216" t="s">
        <v>26</v>
      </c>
      <c r="B216">
        <v>2017</v>
      </c>
      <c r="C216">
        <v>0.611507563479201</v>
      </c>
      <c r="D216">
        <v>0.826385183294729</v>
      </c>
      <c r="E216">
        <v>0.00042728955989177</v>
      </c>
      <c r="F216">
        <v>0.986970271094269</v>
      </c>
      <c r="G216">
        <v>0.759696428443335</v>
      </c>
      <c r="H216">
        <v>0.687234472673717</v>
      </c>
      <c r="I216">
        <v>0.26585761589404</v>
      </c>
      <c r="J216">
        <v>0.171021065732477</v>
      </c>
      <c r="K216">
        <v>0.377715479110278</v>
      </c>
      <c r="L216">
        <v>0.64070197737237</v>
      </c>
      <c r="M216">
        <v>0.00461428455746398</v>
      </c>
      <c r="N216">
        <v>0.131624315815236</v>
      </c>
    </row>
    <row r="217" spans="1:14">
      <c r="A217" t="s">
        <v>26</v>
      </c>
      <c r="B217">
        <v>2018</v>
      </c>
      <c r="C217">
        <v>0.586901801370955</v>
      </c>
      <c r="D217">
        <v>0.78041933664041</v>
      </c>
      <c r="E217">
        <v>3.36134453780932e-5</v>
      </c>
      <c r="F217">
        <v>0.984705797204005</v>
      </c>
      <c r="G217">
        <v>0.740419877029384</v>
      </c>
      <c r="H217">
        <v>0.710432885332108</v>
      </c>
      <c r="I217">
        <v>0.201483443708609</v>
      </c>
      <c r="J217">
        <v>0.112624773874982</v>
      </c>
      <c r="K217">
        <v>0.310368795706739</v>
      </c>
      <c r="L217">
        <v>0.630659382268622</v>
      </c>
      <c r="M217">
        <v>0.00308934111170893</v>
      </c>
      <c r="N217">
        <v>0.118059021764412</v>
      </c>
    </row>
    <row r="218" spans="1:14">
      <c r="A218" t="s">
        <v>26</v>
      </c>
      <c r="B218">
        <v>2019</v>
      </c>
      <c r="C218">
        <v>0.577997908496732</v>
      </c>
      <c r="D218">
        <v>0.764902871060594</v>
      </c>
      <c r="E218">
        <v>0</v>
      </c>
      <c r="F218">
        <v>0.9843748741032</v>
      </c>
      <c r="G218">
        <v>0.707197574906973</v>
      </c>
      <c r="H218">
        <v>0.733999930301235</v>
      </c>
      <c r="I218">
        <v>0.171109713024282</v>
      </c>
      <c r="J218">
        <v>0.112449832645055</v>
      </c>
      <c r="K218">
        <v>0.290570401840586</v>
      </c>
      <c r="L218">
        <v>0.658428224307971</v>
      </c>
      <c r="M218">
        <v>0.00266486285607772</v>
      </c>
      <c r="N218">
        <v>0.113979997634204</v>
      </c>
    </row>
    <row r="219" spans="1:14">
      <c r="A219" t="s">
        <v>26</v>
      </c>
      <c r="B219">
        <v>2020</v>
      </c>
      <c r="C219">
        <v>0.573106060606061</v>
      </c>
      <c r="D219">
        <v>0.779388165383639</v>
      </c>
      <c r="E219">
        <v>0</v>
      </c>
      <c r="F219">
        <v>0.984322028934146</v>
      </c>
      <c r="G219">
        <v>0.690506536687622</v>
      </c>
      <c r="H219">
        <v>0.736710140472685</v>
      </c>
      <c r="I219">
        <v>0.156732891832229</v>
      </c>
      <c r="J219">
        <v>0.104774064890241</v>
      </c>
      <c r="K219">
        <v>0.278881222087775</v>
      </c>
      <c r="L219">
        <v>0.673843782117163</v>
      </c>
      <c r="M219">
        <v>0.00153745166969781</v>
      </c>
      <c r="N219">
        <v>0.111523024236418</v>
      </c>
    </row>
    <row r="220" spans="1:14">
      <c r="A220" t="s">
        <v>26</v>
      </c>
      <c r="B220">
        <v>2021</v>
      </c>
      <c r="C220">
        <v>0.518016819571866</v>
      </c>
      <c r="D220">
        <v>0.721297672560328</v>
      </c>
      <c r="E220">
        <v>0</v>
      </c>
      <c r="F220">
        <v>0.982202571471359</v>
      </c>
      <c r="G220">
        <v>0.722076368868577</v>
      </c>
      <c r="H220">
        <v>0.728392505456506</v>
      </c>
      <c r="I220">
        <v>0.0927152317880795</v>
      </c>
      <c r="J220">
        <v>0.0480428932720492</v>
      </c>
      <c r="K220">
        <v>0.211315401582228</v>
      </c>
      <c r="L220">
        <v>0.690547466149803</v>
      </c>
      <c r="M220">
        <v>0.000712304131448068</v>
      </c>
      <c r="N220">
        <v>0.100413315546163</v>
      </c>
    </row>
    <row r="221" spans="1:14">
      <c r="A221" t="s">
        <v>26</v>
      </c>
      <c r="B221">
        <v>2022</v>
      </c>
      <c r="C221">
        <v>0.495956363083473</v>
      </c>
      <c r="D221">
        <v>0.720427854549589</v>
      </c>
      <c r="E221">
        <v>0.000363196125907903</v>
      </c>
      <c r="F221">
        <v>0.982999614989263</v>
      </c>
      <c r="G221">
        <v>0.721875218249084</v>
      </c>
      <c r="H221">
        <v>0.588141885367731</v>
      </c>
      <c r="I221">
        <v>0.106990066225166</v>
      </c>
      <c r="J221">
        <v>0.0489081844612838</v>
      </c>
      <c r="K221">
        <v>0.203588536058325</v>
      </c>
      <c r="L221">
        <v>0.674885530100844</v>
      </c>
      <c r="M221">
        <v>0.000621518844121973</v>
      </c>
      <c r="N221">
        <v>0.0992414740297252</v>
      </c>
    </row>
    <row r="222" spans="1:14">
      <c r="A222" t="s">
        <v>27</v>
      </c>
      <c r="B222">
        <v>2003</v>
      </c>
      <c r="C222">
        <v>0.958683795770458</v>
      </c>
      <c r="D222">
        <v>1</v>
      </c>
      <c r="E222">
        <v>0.536620424440963</v>
      </c>
      <c r="F222">
        <v>0.999633044190811</v>
      </c>
      <c r="G222">
        <v>0.971999640551298</v>
      </c>
      <c r="H222">
        <v>0.985029970237281</v>
      </c>
      <c r="I222">
        <v>0.524503311258278</v>
      </c>
      <c r="J222">
        <v>0.751549656211112</v>
      </c>
      <c r="K222">
        <v>0.992971218956355</v>
      </c>
      <c r="L222">
        <v>0.978684813328486</v>
      </c>
      <c r="M222">
        <v>0.0412979073065609</v>
      </c>
      <c r="N222">
        <v>0.442028478936538</v>
      </c>
    </row>
    <row r="223" spans="1:14">
      <c r="A223" t="s">
        <v>27</v>
      </c>
      <c r="B223">
        <v>2004</v>
      </c>
      <c r="C223">
        <v>0.952664962775637</v>
      </c>
      <c r="D223">
        <v>0.999742569377458</v>
      </c>
      <c r="E223">
        <v>0.438960546930637</v>
      </c>
      <c r="F223">
        <v>0.998581432812357</v>
      </c>
      <c r="G223">
        <v>0.979905427879658</v>
      </c>
      <c r="H223">
        <v>0.972988938196385</v>
      </c>
      <c r="I223">
        <v>0.45364238410596</v>
      </c>
      <c r="J223">
        <v>0.670798265120537</v>
      </c>
      <c r="K223">
        <v>0.98862012313596</v>
      </c>
      <c r="L223">
        <v>0.974481380569639</v>
      </c>
      <c r="M223">
        <v>0.0421052825598537</v>
      </c>
      <c r="N223">
        <v>0.396712512884466</v>
      </c>
    </row>
    <row r="224" spans="1:14">
      <c r="A224" t="s">
        <v>27</v>
      </c>
      <c r="B224">
        <v>2005</v>
      </c>
      <c r="C224">
        <v>0.945620852859477</v>
      </c>
      <c r="D224">
        <v>0.99851548341001</v>
      </c>
      <c r="E224">
        <v>0.394731092436975</v>
      </c>
      <c r="F224">
        <v>0.997835453946617</v>
      </c>
      <c r="G224">
        <v>0.979651357008309</v>
      </c>
      <c r="H224">
        <v>0.952976512371799</v>
      </c>
      <c r="I224">
        <v>0.45364238410596</v>
      </c>
      <c r="J224">
        <v>0.670798265120537</v>
      </c>
      <c r="K224">
        <v>0.977240142513822</v>
      </c>
      <c r="L224">
        <v>0.955429221355624</v>
      </c>
      <c r="M224">
        <v>0.0470491323460049</v>
      </c>
      <c r="N224">
        <v>0.381730375161668</v>
      </c>
    </row>
    <row r="225" spans="1:14">
      <c r="A225" t="s">
        <v>27</v>
      </c>
      <c r="B225">
        <v>2006</v>
      </c>
      <c r="C225">
        <v>0.938044506928533</v>
      </c>
      <c r="D225">
        <v>0.996588770388959</v>
      </c>
      <c r="E225">
        <v>0.340549779233727</v>
      </c>
      <c r="F225">
        <v>0.995033867679146</v>
      </c>
      <c r="G225">
        <v>0.982277013013217</v>
      </c>
      <c r="H225">
        <v>0.934051263253834</v>
      </c>
      <c r="I225">
        <v>0.443046357615894</v>
      </c>
      <c r="J225">
        <v>0.619136687561843</v>
      </c>
      <c r="K225">
        <v>0.974897284671339</v>
      </c>
      <c r="L225">
        <v>0.940561435094146</v>
      </c>
      <c r="M225">
        <v>0.0546999790952792</v>
      </c>
      <c r="N225">
        <v>0.359985933217452</v>
      </c>
    </row>
    <row r="226" spans="1:14">
      <c r="A226" t="s">
        <v>27</v>
      </c>
      <c r="B226">
        <v>2007</v>
      </c>
      <c r="C226">
        <v>0.928134781655225</v>
      </c>
      <c r="D226">
        <v>0.992960444653824</v>
      </c>
      <c r="E226">
        <v>0.239994302805868</v>
      </c>
      <c r="F226">
        <v>0.994324305188661</v>
      </c>
      <c r="G226">
        <v>0.976943154115032</v>
      </c>
      <c r="H226">
        <v>0.852041850409322</v>
      </c>
      <c r="I226">
        <v>0.360485651214128</v>
      </c>
      <c r="J226">
        <v>0.596484453788055</v>
      </c>
      <c r="K226">
        <v>0.965860265649782</v>
      </c>
      <c r="L226">
        <v>0.928885508735869</v>
      </c>
      <c r="M226">
        <v>0.0462240751753177</v>
      </c>
      <c r="N226">
        <v>0.312190022088669</v>
      </c>
    </row>
    <row r="227" spans="1:14">
      <c r="A227" t="s">
        <v>27</v>
      </c>
      <c r="B227">
        <v>2008</v>
      </c>
      <c r="C227">
        <v>0.919968819152404</v>
      </c>
      <c r="D227">
        <v>0.987500512593579</v>
      </c>
      <c r="E227">
        <v>0.176613018088591</v>
      </c>
      <c r="F227">
        <v>0.993888963672821</v>
      </c>
      <c r="G227">
        <v>0.973690529255829</v>
      </c>
      <c r="H227">
        <v>0.840213569710595</v>
      </c>
      <c r="I227">
        <v>0.399337748344371</v>
      </c>
      <c r="J227">
        <v>0.565463366328746</v>
      </c>
      <c r="K227">
        <v>0.955176501862147</v>
      </c>
      <c r="L227">
        <v>0.914281490658745</v>
      </c>
      <c r="M227">
        <v>0.0444197711251314</v>
      </c>
      <c r="N227">
        <v>0.288248947285235</v>
      </c>
    </row>
    <row r="228" spans="1:14">
      <c r="A228" t="s">
        <v>27</v>
      </c>
      <c r="B228">
        <v>2009</v>
      </c>
      <c r="C228">
        <v>0.911205126732996</v>
      </c>
      <c r="D228">
        <v>0.982971084288005</v>
      </c>
      <c r="E228">
        <v>0.162085173052272</v>
      </c>
      <c r="F228">
        <v>0.993442052496687</v>
      </c>
      <c r="G228">
        <v>0.977411577620596</v>
      </c>
      <c r="H228">
        <v>0.898566421157651</v>
      </c>
      <c r="I228">
        <v>0.344591611479029</v>
      </c>
      <c r="J228">
        <v>0.556169110553</v>
      </c>
      <c r="K228">
        <v>0.939405271035865</v>
      </c>
      <c r="L228">
        <v>0.893036492335307</v>
      </c>
      <c r="M228">
        <v>0.0436100958763212</v>
      </c>
      <c r="N228">
        <v>0.278028135569072</v>
      </c>
    </row>
    <row r="229" spans="1:14">
      <c r="A229" t="s">
        <v>27</v>
      </c>
      <c r="B229">
        <v>2010</v>
      </c>
      <c r="C229">
        <v>0.896557794751273</v>
      </c>
      <c r="D229">
        <v>0.977604223369215</v>
      </c>
      <c r="E229">
        <v>0.135023500925794</v>
      </c>
      <c r="F229">
        <v>0.993133739353237</v>
      </c>
      <c r="G229">
        <v>0.97469262944492</v>
      </c>
      <c r="H229">
        <v>0.89383510887816</v>
      </c>
      <c r="I229">
        <v>0.34635761589404</v>
      </c>
      <c r="J229">
        <v>0.517020578649099</v>
      </c>
      <c r="K229">
        <v>0.925361093743158</v>
      </c>
      <c r="L229">
        <v>0.873497843845689</v>
      </c>
      <c r="M229">
        <v>0.0414313086583684</v>
      </c>
      <c r="N229">
        <v>0.263494028766842</v>
      </c>
    </row>
    <row r="230" spans="1:14">
      <c r="A230" t="s">
        <v>27</v>
      </c>
      <c r="B230">
        <v>2011</v>
      </c>
      <c r="C230">
        <v>0.883102437262782</v>
      </c>
      <c r="D230">
        <v>0.964145565545948</v>
      </c>
      <c r="E230">
        <v>0.0947158524426721</v>
      </c>
      <c r="F230">
        <v>0.993129556427237</v>
      </c>
      <c r="G230">
        <v>0.981256386432848</v>
      </c>
      <c r="H230">
        <v>0.904086285483724</v>
      </c>
      <c r="I230">
        <v>0.356512141280353</v>
      </c>
      <c r="J230">
        <v>0.485235028593516</v>
      </c>
      <c r="K230">
        <v>0.924691750255919</v>
      </c>
      <c r="L230">
        <v>0.856683689834822</v>
      </c>
      <c r="M230">
        <v>0.0360244426625259</v>
      </c>
      <c r="N230">
        <v>0.245053868300911</v>
      </c>
    </row>
    <row r="231" spans="1:14">
      <c r="A231" t="s">
        <v>27</v>
      </c>
      <c r="B231">
        <v>2012</v>
      </c>
      <c r="C231">
        <v>0.869840010928962</v>
      </c>
      <c r="D231">
        <v>0.955640319922527</v>
      </c>
      <c r="E231">
        <v>0.0767696909272183</v>
      </c>
      <c r="F231">
        <v>0.992693795965149</v>
      </c>
      <c r="G231">
        <v>0.977307880770071</v>
      </c>
      <c r="H231">
        <v>0.832328049244776</v>
      </c>
      <c r="I231">
        <v>0.308830022075055</v>
      </c>
      <c r="J231">
        <v>0.452604546194684</v>
      </c>
      <c r="K231">
        <v>0.900258378414497</v>
      </c>
      <c r="L231">
        <v>0.840532700675241</v>
      </c>
      <c r="M231">
        <v>0.0424942341781556</v>
      </c>
      <c r="N231">
        <v>0.233011264615656</v>
      </c>
    </row>
    <row r="232" spans="1:14">
      <c r="A232" t="s">
        <v>27</v>
      </c>
      <c r="B232">
        <v>2013</v>
      </c>
      <c r="C232">
        <v>0.854123803161879</v>
      </c>
      <c r="D232">
        <v>0.950502230412309</v>
      </c>
      <c r="E232">
        <v>0.0549779233727389</v>
      </c>
      <c r="F232">
        <v>0.992063215470879</v>
      </c>
      <c r="G232">
        <v>0.977234570266258</v>
      </c>
      <c r="H232">
        <v>0.793688998962266</v>
      </c>
      <c r="I232">
        <v>0.316872111846947</v>
      </c>
      <c r="J232">
        <v>0.441416501981978</v>
      </c>
      <c r="K232">
        <v>0.895791938175668</v>
      </c>
      <c r="L232">
        <v>0.828900492674407</v>
      </c>
      <c r="M232">
        <v>0.0437310438083253</v>
      </c>
      <c r="N232">
        <v>0.224277940406182</v>
      </c>
    </row>
    <row r="233" spans="1:14">
      <c r="A233" t="s">
        <v>27</v>
      </c>
      <c r="B233">
        <v>2014</v>
      </c>
      <c r="C233">
        <v>0.848909176810628</v>
      </c>
      <c r="D233">
        <v>0.938670676304275</v>
      </c>
      <c r="E233">
        <v>0.0454351232018231</v>
      </c>
      <c r="F233">
        <v>0.992109421778269</v>
      </c>
      <c r="G233">
        <v>0.972368166548902</v>
      </c>
      <c r="H233">
        <v>0.805517279660994</v>
      </c>
      <c r="I233">
        <v>0.314753593328428</v>
      </c>
      <c r="J233">
        <v>0.418361628888108</v>
      </c>
      <c r="K233">
        <v>0.881250471378802</v>
      </c>
      <c r="L233">
        <v>0.819398766700925</v>
      </c>
      <c r="M233">
        <v>0.0448443326033545</v>
      </c>
      <c r="N233">
        <v>0.218351335477487</v>
      </c>
    </row>
    <row r="234" spans="1:14">
      <c r="A234" t="s">
        <v>27</v>
      </c>
      <c r="B234">
        <v>2015</v>
      </c>
      <c r="C234">
        <v>0.84403038873177</v>
      </c>
      <c r="D234">
        <v>0.938333413000465</v>
      </c>
      <c r="E234">
        <v>0.0348953140578266</v>
      </c>
      <c r="F234">
        <v>0.992289910544289</v>
      </c>
      <c r="G234">
        <v>0.964573860750361</v>
      </c>
      <c r="H234">
        <v>0.742433115934446</v>
      </c>
      <c r="I234">
        <v>0.332956291390729</v>
      </c>
      <c r="J234">
        <v>0.419040413556561</v>
      </c>
      <c r="K234">
        <v>0.88685905769801</v>
      </c>
      <c r="L234">
        <v>0.803686993688776</v>
      </c>
      <c r="M234">
        <v>0.051325597353759</v>
      </c>
      <c r="N234">
        <v>0.216907435040389</v>
      </c>
    </row>
    <row r="235" spans="1:14">
      <c r="A235" t="s">
        <v>27</v>
      </c>
      <c r="B235">
        <v>2016</v>
      </c>
      <c r="C235">
        <v>0.829911873584176</v>
      </c>
      <c r="D235">
        <v>0.930851497753572</v>
      </c>
      <c r="E235">
        <v>0.027773821392964</v>
      </c>
      <c r="F235">
        <v>0.991215192733021</v>
      </c>
      <c r="G235">
        <v>0.947590448670174</v>
      </c>
      <c r="H235">
        <v>0.785014926449866</v>
      </c>
      <c r="I235">
        <v>0.310516556291391</v>
      </c>
      <c r="J235">
        <v>0.372251882700376</v>
      </c>
      <c r="K235">
        <v>0.852167537785068</v>
      </c>
      <c r="L235">
        <v>0.791592738005936</v>
      </c>
      <c r="M235">
        <v>0.0142594766986331</v>
      </c>
      <c r="N235">
        <v>0.194242251585769</v>
      </c>
    </row>
    <row r="236" spans="1:14">
      <c r="A236" t="s">
        <v>27</v>
      </c>
      <c r="B236">
        <v>2017</v>
      </c>
      <c r="C236">
        <v>0.818693797809697</v>
      </c>
      <c r="D236">
        <v>0.922055158656916</v>
      </c>
      <c r="E236">
        <v>0.020367469021507</v>
      </c>
      <c r="F236">
        <v>0.990977773859599</v>
      </c>
      <c r="G236">
        <v>0.935584586755543</v>
      </c>
      <c r="H236">
        <v>0.751107188446846</v>
      </c>
      <c r="I236">
        <v>0.267120750551876</v>
      </c>
      <c r="J236">
        <v>0.337665904980277</v>
      </c>
      <c r="K236">
        <v>0.812928404214986</v>
      </c>
      <c r="L236">
        <v>0.781219692254245</v>
      </c>
      <c r="M236">
        <v>0.011098541771342</v>
      </c>
      <c r="N236">
        <v>0.182439448525532</v>
      </c>
    </row>
    <row r="237" spans="1:14">
      <c r="A237" t="s">
        <v>27</v>
      </c>
      <c r="B237">
        <v>2018</v>
      </c>
      <c r="C237">
        <v>0.799126344086021</v>
      </c>
      <c r="D237">
        <v>0.907187905517977</v>
      </c>
      <c r="E237">
        <v>0.0204596211365902</v>
      </c>
      <c r="F237">
        <v>0.99062777505983</v>
      </c>
      <c r="G237">
        <v>0.924013906066994</v>
      </c>
      <c r="H237">
        <v>0.799858630174722</v>
      </c>
      <c r="I237">
        <v>0.244538410596026</v>
      </c>
      <c r="J237">
        <v>0.294466646718216</v>
      </c>
      <c r="K237">
        <v>0.680364257327553</v>
      </c>
      <c r="L237">
        <v>0.771776747698052</v>
      </c>
      <c r="M237">
        <v>0.00585179944235064</v>
      </c>
      <c r="N237">
        <v>0.171641149573092</v>
      </c>
    </row>
    <row r="238" spans="1:14">
      <c r="A238" t="s">
        <v>27</v>
      </c>
      <c r="B238">
        <v>2019</v>
      </c>
      <c r="C238">
        <v>0.784076657912016</v>
      </c>
      <c r="D238">
        <v>0.895904488042405</v>
      </c>
      <c r="E238">
        <v>0.0185848169776385</v>
      </c>
      <c r="F238">
        <v>0.990031948077326</v>
      </c>
      <c r="G238">
        <v>0.922517789637536</v>
      </c>
      <c r="H238">
        <v>0.852175021078949</v>
      </c>
      <c r="I238">
        <v>0.21100242825607</v>
      </c>
      <c r="J238">
        <v>0.254121449207033</v>
      </c>
      <c r="K238">
        <v>0.643768983840921</v>
      </c>
      <c r="L238">
        <v>0.77217649649788</v>
      </c>
      <c r="M238">
        <v>0.00219615208256011</v>
      </c>
      <c r="N238">
        <v>0.163372579097166</v>
      </c>
    </row>
    <row r="239" spans="1:14">
      <c r="A239" t="s">
        <v>27</v>
      </c>
      <c r="B239">
        <v>2020</v>
      </c>
      <c r="C239">
        <v>0.772644280644281</v>
      </c>
      <c r="D239">
        <v>0.883538032157856</v>
      </c>
      <c r="E239">
        <v>0.0108246688505912</v>
      </c>
      <c r="F239">
        <v>0.990002707501952</v>
      </c>
      <c r="G239">
        <v>0.90873628499191</v>
      </c>
      <c r="H239">
        <v>0.842240035865078</v>
      </c>
      <c r="I239">
        <v>0.189845474613686</v>
      </c>
      <c r="J239">
        <v>0.243584378424113</v>
      </c>
      <c r="K239">
        <v>0.616095039097089</v>
      </c>
      <c r="L239">
        <v>0.759390331400647</v>
      </c>
      <c r="M239">
        <v>0.00321730851654921</v>
      </c>
      <c r="N239">
        <v>0.156532135586632</v>
      </c>
    </row>
    <row r="240" spans="1:14">
      <c r="A240" t="s">
        <v>27</v>
      </c>
      <c r="B240">
        <v>2021</v>
      </c>
      <c r="C240">
        <v>0.746102568297072</v>
      </c>
      <c r="D240">
        <v>0.894758386132686</v>
      </c>
      <c r="E240">
        <v>0.00733656174334146</v>
      </c>
      <c r="F240">
        <v>0.990234262423864</v>
      </c>
      <c r="G240">
        <v>0.887281175956384</v>
      </c>
      <c r="H240">
        <v>0.831333714789143</v>
      </c>
      <c r="I240">
        <v>0.214128035320088</v>
      </c>
      <c r="J240">
        <v>0.198118971382584</v>
      </c>
      <c r="K240">
        <v>0.574298683455004</v>
      </c>
      <c r="L240">
        <v>0.754158823280964</v>
      </c>
      <c r="M240">
        <v>0.00312141542740433</v>
      </c>
      <c r="N240">
        <v>0.150983942420269</v>
      </c>
    </row>
    <row r="241" spans="1:14">
      <c r="A241" t="s">
        <v>27</v>
      </c>
      <c r="B241">
        <v>2022</v>
      </c>
      <c r="C241">
        <v>0.720744518796584</v>
      </c>
      <c r="D241">
        <v>0.863580509086322</v>
      </c>
      <c r="E241">
        <v>0.00831078193989461</v>
      </c>
      <c r="F241">
        <v>0.989285471547048</v>
      </c>
      <c r="G241">
        <v>0.889079474974883</v>
      </c>
      <c r="H241">
        <v>0.756300830281294</v>
      </c>
      <c r="I241">
        <v>0.21289646799117</v>
      </c>
      <c r="J241">
        <v>0.189507622114551</v>
      </c>
      <c r="K241">
        <v>0.53003983688397</v>
      </c>
      <c r="L241">
        <v>0.754948122031432</v>
      </c>
      <c r="M241">
        <v>0.00204094219373488</v>
      </c>
      <c r="N241">
        <v>0.147330658489098</v>
      </c>
    </row>
    <row r="242" spans="1:14">
      <c r="A242" t="s">
        <v>28</v>
      </c>
      <c r="B242">
        <v>2003</v>
      </c>
      <c r="C242">
        <v>0.904383771178375</v>
      </c>
      <c r="D242">
        <v>1</v>
      </c>
      <c r="E242">
        <v>0.148559749323458</v>
      </c>
      <c r="F242">
        <v>1</v>
      </c>
      <c r="G242">
        <v>0.689908056468882</v>
      </c>
      <c r="H242">
        <v>0.977965647872773</v>
      </c>
      <c r="I242">
        <v>0.354746136865342</v>
      </c>
      <c r="J242">
        <v>0.598134083601066</v>
      </c>
      <c r="K242">
        <v>0.916765461668542</v>
      </c>
      <c r="L242">
        <v>0.993375093304605</v>
      </c>
      <c r="M242">
        <v>0.0156353533050398</v>
      </c>
      <c r="N242">
        <v>0.255582484495581</v>
      </c>
    </row>
    <row r="243" spans="1:14">
      <c r="A243" t="s">
        <v>28</v>
      </c>
      <c r="B243">
        <v>2004</v>
      </c>
      <c r="C243">
        <v>0.892379773117975</v>
      </c>
      <c r="D243">
        <v>0.998182739680148</v>
      </c>
      <c r="E243">
        <v>0.0971699188149836</v>
      </c>
      <c r="F243">
        <v>1</v>
      </c>
      <c r="G243">
        <v>0.765237785887516</v>
      </c>
      <c r="H243">
        <v>0.954349460340102</v>
      </c>
      <c r="I243">
        <v>0.306181015452539</v>
      </c>
      <c r="J243">
        <v>0.457392496139766</v>
      </c>
      <c r="K243">
        <v>0.896241902458673</v>
      </c>
      <c r="L243">
        <v>0.989846546408194</v>
      </c>
      <c r="M243">
        <v>0.0233122041822897</v>
      </c>
      <c r="N243">
        <v>0.228816712001983</v>
      </c>
    </row>
    <row r="244" spans="1:14">
      <c r="A244" t="s">
        <v>28</v>
      </c>
      <c r="B244">
        <v>2005</v>
      </c>
      <c r="C244">
        <v>0.878404683909662</v>
      </c>
      <c r="D244">
        <v>0.998467488074657</v>
      </c>
      <c r="E244">
        <v>0.0542097991739069</v>
      </c>
      <c r="F244">
        <v>1</v>
      </c>
      <c r="G244">
        <v>0.625232780669738</v>
      </c>
      <c r="H244">
        <v>0.930108503020925</v>
      </c>
      <c r="I244">
        <v>0.306181015452539</v>
      </c>
      <c r="J244">
        <v>0.457392496139766</v>
      </c>
      <c r="K244">
        <v>0.900232646406307</v>
      </c>
      <c r="L244">
        <v>0.986603288797533</v>
      </c>
      <c r="M244">
        <v>0.0318019557967494</v>
      </c>
      <c r="N244">
        <v>0.209191839354945</v>
      </c>
    </row>
    <row r="245" spans="1:14">
      <c r="A245" t="s">
        <v>28</v>
      </c>
      <c r="B245">
        <v>2006</v>
      </c>
      <c r="C245">
        <v>0.861772371362157</v>
      </c>
      <c r="D245">
        <v>0.998300570129618</v>
      </c>
      <c r="E245">
        <v>0.331434268622703</v>
      </c>
      <c r="F245">
        <v>0.999413806070373</v>
      </c>
      <c r="G245">
        <v>0.614787439413887</v>
      </c>
      <c r="H245">
        <v>0.911971805949543</v>
      </c>
      <c r="I245">
        <v>0.278145695364238</v>
      </c>
      <c r="J245">
        <v>0.412812256314974</v>
      </c>
      <c r="K245">
        <v>0.875148192502813</v>
      </c>
      <c r="L245">
        <v>0.983805146145016</v>
      </c>
      <c r="M245">
        <v>0.0315535723205126</v>
      </c>
      <c r="N245">
        <v>0.300528827457424</v>
      </c>
    </row>
    <row r="246" spans="1:14">
      <c r="A246" t="s">
        <v>28</v>
      </c>
      <c r="B246">
        <v>2007</v>
      </c>
      <c r="C246">
        <v>0.841678341085271</v>
      </c>
      <c r="D246">
        <v>0.998579598744461</v>
      </c>
      <c r="E246">
        <v>0.0378863409770687</v>
      </c>
      <c r="F246">
        <v>0.998353027321762</v>
      </c>
      <c r="G246">
        <v>0.695658510871219</v>
      </c>
      <c r="H246">
        <v>0.908029045716633</v>
      </c>
      <c r="I246">
        <v>0.278587196467991</v>
      </c>
      <c r="J246">
        <v>0.396999951034159</v>
      </c>
      <c r="K246">
        <v>0.843792702942019</v>
      </c>
      <c r="L246">
        <v>0.980752101615411</v>
      </c>
      <c r="M246">
        <v>0.0270471103721398</v>
      </c>
      <c r="N246">
        <v>0.19640391256378</v>
      </c>
    </row>
    <row r="247" spans="1:14">
      <c r="A247" t="s">
        <v>28</v>
      </c>
      <c r="B247">
        <v>2008</v>
      </c>
      <c r="C247">
        <v>0.831351625400751</v>
      </c>
      <c r="D247">
        <v>0.995506063546213</v>
      </c>
      <c r="E247">
        <v>0.0394530693633385</v>
      </c>
      <c r="F247">
        <v>0.997416382627817</v>
      </c>
      <c r="G247">
        <v>0.689193717470633</v>
      </c>
      <c r="H247">
        <v>0.883583932272596</v>
      </c>
      <c r="I247">
        <v>0.23289183222958</v>
      </c>
      <c r="J247">
        <v>0.338780089096908</v>
      </c>
      <c r="K247">
        <v>0.829006655251892</v>
      </c>
      <c r="L247">
        <v>0.979353058906258</v>
      </c>
      <c r="M247">
        <v>0.0282594011264427</v>
      </c>
      <c r="N247">
        <v>0.188683267014864</v>
      </c>
    </row>
    <row r="248" spans="1:14">
      <c r="A248" t="s">
        <v>28</v>
      </c>
      <c r="B248">
        <v>2009</v>
      </c>
      <c r="C248">
        <v>0.823023710901982</v>
      </c>
      <c r="D248">
        <v>0.975246718463469</v>
      </c>
      <c r="E248">
        <v>0.0195128899017235</v>
      </c>
      <c r="F248">
        <v>0.998105616928296</v>
      </c>
      <c r="G248">
        <v>0.756455912253487</v>
      </c>
      <c r="H248">
        <v>0.883583932272596</v>
      </c>
      <c r="I248">
        <v>0.185209713024283</v>
      </c>
      <c r="J248">
        <v>0.294441258513045</v>
      </c>
      <c r="K248">
        <v>0.806179873792801</v>
      </c>
      <c r="L248">
        <v>0.977870298796547</v>
      </c>
      <c r="M248">
        <v>0</v>
      </c>
      <c r="N248">
        <v>0.167128362022785</v>
      </c>
    </row>
    <row r="249" spans="1:14">
      <c r="A249" t="s">
        <v>28</v>
      </c>
      <c r="B249">
        <v>2010</v>
      </c>
      <c r="C249">
        <v>0.796427534073473</v>
      </c>
      <c r="D249">
        <v>0.915776897932641</v>
      </c>
      <c r="E249">
        <v>0.0153824241561031</v>
      </c>
      <c r="F249">
        <v>0.992753273200327</v>
      </c>
      <c r="G249">
        <v>0.656850879937657</v>
      </c>
      <c r="H249">
        <v>0.867812891340959</v>
      </c>
      <c r="I249">
        <v>0.150331125827815</v>
      </c>
      <c r="J249">
        <v>0.257465409777501</v>
      </c>
      <c r="K249">
        <v>0.788493060969711</v>
      </c>
      <c r="L249">
        <v>0.976040596094553</v>
      </c>
      <c r="M249">
        <v>0.0250615663767161</v>
      </c>
      <c r="N249">
        <v>0.161922065468194</v>
      </c>
    </row>
    <row r="250" spans="1:14">
      <c r="A250" t="s">
        <v>28</v>
      </c>
      <c r="B250">
        <v>2011</v>
      </c>
      <c r="C250">
        <v>0.770991859187808</v>
      </c>
      <c r="D250">
        <v>0.892973572441316</v>
      </c>
      <c r="E250">
        <v>0.0189431704885344</v>
      </c>
      <c r="F250">
        <v>0.991028285195318</v>
      </c>
      <c r="G250">
        <v>0.805443443190542</v>
      </c>
      <c r="H250">
        <v>0.826019632872122</v>
      </c>
      <c r="I250">
        <v>0.154304635761589</v>
      </c>
      <c r="J250">
        <v>0.222219660601943</v>
      </c>
      <c r="K250">
        <v>0.659572275919343</v>
      </c>
      <c r="L250">
        <v>0.974643448828139</v>
      </c>
      <c r="M250">
        <v>0.0255337016054078</v>
      </c>
      <c r="N250">
        <v>0.163800977903529</v>
      </c>
    </row>
    <row r="251" spans="1:14">
      <c r="A251" t="s">
        <v>28</v>
      </c>
      <c r="B251">
        <v>2012</v>
      </c>
      <c r="C251">
        <v>0.764918968411004</v>
      </c>
      <c r="D251">
        <v>0.895674929939368</v>
      </c>
      <c r="E251">
        <v>0.0199401794616152</v>
      </c>
      <c r="F251">
        <v>0.987410650094258</v>
      </c>
      <c r="G251">
        <v>0.688640239518891</v>
      </c>
      <c r="H251">
        <v>0.802363071474666</v>
      </c>
      <c r="I251">
        <v>0.11523178807947</v>
      </c>
      <c r="J251">
        <v>0.196268167202132</v>
      </c>
      <c r="K251">
        <v>0.642852903597729</v>
      </c>
      <c r="L251">
        <v>0.973505374477495</v>
      </c>
      <c r="M251">
        <v>0.0252351040762719</v>
      </c>
      <c r="N251">
        <v>0.152947703849197</v>
      </c>
    </row>
    <row r="252" spans="1:14">
      <c r="A252" t="s">
        <v>28</v>
      </c>
      <c r="B252">
        <v>2013</v>
      </c>
      <c r="C252">
        <v>0.749702702702703</v>
      </c>
      <c r="D252">
        <v>0.864116866014608</v>
      </c>
      <c r="E252">
        <v>0.016379433129184</v>
      </c>
      <c r="F252">
        <v>0.98738868774767</v>
      </c>
      <c r="G252">
        <v>0.714893728034705</v>
      </c>
      <c r="H252">
        <v>0.751107188446846</v>
      </c>
      <c r="I252">
        <v>0.20895643855777</v>
      </c>
      <c r="J252">
        <v>0.253329586661914</v>
      </c>
      <c r="K252">
        <v>0.66714454187791</v>
      </c>
      <c r="L252">
        <v>0.972475485515349</v>
      </c>
      <c r="M252">
        <v>0.0250803276093748</v>
      </c>
      <c r="N252">
        <v>0.162645931057864</v>
      </c>
    </row>
    <row r="253" spans="1:14">
      <c r="A253" t="s">
        <v>28</v>
      </c>
      <c r="B253">
        <v>2014</v>
      </c>
      <c r="C253">
        <v>0.731048584706379</v>
      </c>
      <c r="D253">
        <v>0.863826365664652</v>
      </c>
      <c r="E253">
        <v>0.0166642928357784</v>
      </c>
      <c r="F253">
        <v>0.986281131611748</v>
      </c>
      <c r="G253">
        <v>0.682676151302294</v>
      </c>
      <c r="H253">
        <v>0.706159721791681</v>
      </c>
      <c r="I253">
        <v>0.248711209222472</v>
      </c>
      <c r="J253">
        <v>0.280209995997568</v>
      </c>
      <c r="K253">
        <v>0.664169970151563</v>
      </c>
      <c r="L253">
        <v>0.973460210198371</v>
      </c>
      <c r="M253">
        <v>0.023869933894091</v>
      </c>
      <c r="N253">
        <v>0.164620024880818</v>
      </c>
    </row>
    <row r="254" spans="1:14">
      <c r="A254" t="s">
        <v>28</v>
      </c>
      <c r="B254">
        <v>2015</v>
      </c>
      <c r="C254">
        <v>0.734255354752343</v>
      </c>
      <c r="D254">
        <v>0.878251753878752</v>
      </c>
      <c r="E254">
        <v>0.0205098988748041</v>
      </c>
      <c r="F254">
        <v>0.986788158624122</v>
      </c>
      <c r="G254">
        <v>0.58867958352125</v>
      </c>
      <c r="H254">
        <v>0.706948273838263</v>
      </c>
      <c r="I254">
        <v>0.396405739514349</v>
      </c>
      <c r="J254">
        <v>0.367452425581477</v>
      </c>
      <c r="K254">
        <v>0.715727818438271</v>
      </c>
      <c r="L254">
        <v>0.972844269684204</v>
      </c>
      <c r="M254">
        <v>0.0268550535922113</v>
      </c>
      <c r="N254">
        <v>0.180651301097166</v>
      </c>
    </row>
    <row r="255" spans="1:14">
      <c r="A255" t="s">
        <v>28</v>
      </c>
      <c r="B255">
        <v>2016</v>
      </c>
      <c r="C255">
        <v>0.719718210491368</v>
      </c>
      <c r="D255">
        <v>0.870784955379236</v>
      </c>
      <c r="E255">
        <v>0.0397379290699331</v>
      </c>
      <c r="F255">
        <v>0.98736268026763</v>
      </c>
      <c r="G255">
        <v>0.455996433199855</v>
      </c>
      <c r="H255">
        <v>0.675406191974989</v>
      </c>
      <c r="I255">
        <v>0.328220750551876</v>
      </c>
      <c r="J255">
        <v>0.333970814668878</v>
      </c>
      <c r="K255">
        <v>0.658220826698868</v>
      </c>
      <c r="L255">
        <v>0.972179618942209</v>
      </c>
      <c r="M255">
        <v>0.00756289865350761</v>
      </c>
      <c r="N255">
        <v>0.164772388440115</v>
      </c>
    </row>
    <row r="256" spans="1:14">
      <c r="A256" t="s">
        <v>28</v>
      </c>
      <c r="B256">
        <v>2017</v>
      </c>
      <c r="C256">
        <v>0.702845838458385</v>
      </c>
      <c r="D256">
        <v>0.868109191756912</v>
      </c>
      <c r="E256">
        <v>0.036319612590799</v>
      </c>
      <c r="F256">
        <v>0.986483639090795</v>
      </c>
      <c r="G256">
        <v>0.520723483237071</v>
      </c>
      <c r="H256">
        <v>0.717988002490409</v>
      </c>
      <c r="I256">
        <v>0.302777483443708</v>
      </c>
      <c r="J256">
        <v>0.311726200398398</v>
      </c>
      <c r="K256">
        <v>0.642733685543654</v>
      </c>
      <c r="L256">
        <v>0.972057929295877</v>
      </c>
      <c r="M256">
        <v>0.00776771998343576</v>
      </c>
      <c r="N256">
        <v>0.163084547283433</v>
      </c>
    </row>
    <row r="257" spans="1:14">
      <c r="A257" t="s">
        <v>28</v>
      </c>
      <c r="B257">
        <v>2018</v>
      </c>
      <c r="C257">
        <v>0.677671377517869</v>
      </c>
      <c r="D257">
        <v>0.864778769557381</v>
      </c>
      <c r="E257">
        <v>0.0243567867825095</v>
      </c>
      <c r="F257">
        <v>0.985061394992952</v>
      </c>
      <c r="G257">
        <v>0.57038784047204</v>
      </c>
      <c r="H257">
        <v>0.756163384169529</v>
      </c>
      <c r="I257">
        <v>0.358366004415011</v>
      </c>
      <c r="J257">
        <v>0.292199894415645</v>
      </c>
      <c r="K257">
        <v>0.551183973275234</v>
      </c>
      <c r="L257">
        <v>0.974244073375986</v>
      </c>
      <c r="M257">
        <v>0.00760244407312731</v>
      </c>
      <c r="N257">
        <v>0.16123620387504</v>
      </c>
    </row>
    <row r="258" spans="1:14">
      <c r="A258" t="s">
        <v>28</v>
      </c>
      <c r="B258">
        <v>2019</v>
      </c>
      <c r="C258">
        <v>0.668082346305697</v>
      </c>
      <c r="D258">
        <v>0.86366130740458</v>
      </c>
      <c r="E258">
        <v>0.0224838342116508</v>
      </c>
      <c r="F258">
        <v>0.985382448628323</v>
      </c>
      <c r="G258">
        <v>0.546141267387223</v>
      </c>
      <c r="H258">
        <v>0.671054097528907</v>
      </c>
      <c r="I258">
        <v>0.246628918322296</v>
      </c>
      <c r="J258">
        <v>0.221596020062878</v>
      </c>
      <c r="K258">
        <v>0.502707775071536</v>
      </c>
      <c r="L258">
        <v>0.973969872795733</v>
      </c>
      <c r="M258">
        <v>0.00795692313748853</v>
      </c>
      <c r="N258">
        <v>0.144379921984715</v>
      </c>
    </row>
    <row r="259" spans="1:14">
      <c r="A259" t="s">
        <v>28</v>
      </c>
      <c r="B259">
        <v>2020</v>
      </c>
      <c r="C259">
        <v>0.658868461107106</v>
      </c>
      <c r="D259">
        <v>0.868634730937965</v>
      </c>
      <c r="E259">
        <v>0.0112519584104829</v>
      </c>
      <c r="F259">
        <v>0.987426351372549</v>
      </c>
      <c r="G259">
        <v>0.588116913551877</v>
      </c>
      <c r="H259">
        <v>0.667380462179817</v>
      </c>
      <c r="I259">
        <v>0.227373068432671</v>
      </c>
      <c r="J259">
        <v>0.219041105596385</v>
      </c>
      <c r="K259">
        <v>0.481209512293363</v>
      </c>
      <c r="L259">
        <v>0.973624001897383</v>
      </c>
      <c r="M259">
        <v>0.0214754405310033</v>
      </c>
      <c r="N259">
        <v>0.145149860753984</v>
      </c>
    </row>
    <row r="260" spans="1:14">
      <c r="A260" t="s">
        <v>28</v>
      </c>
      <c r="B260">
        <v>2021</v>
      </c>
      <c r="C260">
        <v>0.612653849215827</v>
      </c>
      <c r="D260">
        <v>0.846730664520253</v>
      </c>
      <c r="E260">
        <v>0.00935194416749747</v>
      </c>
      <c r="F260">
        <v>0.986687295671294</v>
      </c>
      <c r="G260">
        <v>0.580750865640211</v>
      </c>
      <c r="H260">
        <v>0.675821474311477</v>
      </c>
      <c r="I260">
        <v>0.156732891832229</v>
      </c>
      <c r="J260">
        <v>0.119258619345949</v>
      </c>
      <c r="K260">
        <v>0.45772148047864</v>
      </c>
      <c r="L260">
        <v>0.973300387045986</v>
      </c>
      <c r="M260">
        <v>0.0100883379166863</v>
      </c>
      <c r="N260">
        <v>0.12587573986143</v>
      </c>
    </row>
    <row r="261" spans="1:14">
      <c r="A261" t="s">
        <v>28</v>
      </c>
      <c r="B261">
        <v>2022</v>
      </c>
      <c r="C261">
        <v>0.604146768545049</v>
      </c>
      <c r="D261">
        <v>0.858583843693938</v>
      </c>
      <c r="E261">
        <v>0.0046289702321607</v>
      </c>
      <c r="F261">
        <v>0.987107956121849</v>
      </c>
      <c r="G261">
        <v>0.583395594804081</v>
      </c>
      <c r="H261">
        <v>0.729810187905571</v>
      </c>
      <c r="I261">
        <v>0.140608830022075</v>
      </c>
      <c r="J261">
        <v>0.112816573516899</v>
      </c>
      <c r="K261">
        <v>0.448949874670594</v>
      </c>
      <c r="L261">
        <v>0.972916219953123</v>
      </c>
      <c r="M261">
        <v>0.00959114762394418</v>
      </c>
      <c r="N261">
        <v>0.122996409224409</v>
      </c>
    </row>
    <row r="262" spans="1:14">
      <c r="A262" t="s">
        <v>29</v>
      </c>
      <c r="B262">
        <v>2003</v>
      </c>
      <c r="C262">
        <v>0.959748162513713</v>
      </c>
      <c r="D262">
        <v>1</v>
      </c>
      <c r="E262">
        <v>0.372175900868822</v>
      </c>
      <c r="F262">
        <v>0.99992608627451</v>
      </c>
      <c r="G262">
        <v>0.875388258774727</v>
      </c>
      <c r="H262">
        <v>0.981691635148077</v>
      </c>
      <c r="I262">
        <v>0.603311258278146</v>
      </c>
      <c r="J262">
        <v>0.814879347081348</v>
      </c>
      <c r="K262">
        <v>0.991529915223409</v>
      </c>
      <c r="L262">
        <v>0.995903595175164</v>
      </c>
      <c r="M262">
        <v>0.0549896806770884</v>
      </c>
      <c r="N262">
        <v>0.39421257361392</v>
      </c>
    </row>
    <row r="263" spans="1:14">
      <c r="A263" t="s">
        <v>29</v>
      </c>
      <c r="B263">
        <v>2004</v>
      </c>
      <c r="C263">
        <v>0.955224154956427</v>
      </c>
      <c r="D263">
        <v>1</v>
      </c>
      <c r="E263">
        <v>0.282792194844039</v>
      </c>
      <c r="F263">
        <v>0.999619934018052</v>
      </c>
      <c r="G263">
        <v>0.885569125338049</v>
      </c>
      <c r="H263">
        <v>0.966325673402769</v>
      </c>
      <c r="I263">
        <v>0.477704194260486</v>
      </c>
      <c r="J263">
        <v>0.708659281072819</v>
      </c>
      <c r="K263">
        <v>0.992800433127802</v>
      </c>
      <c r="L263">
        <v>0.99447007596508</v>
      </c>
      <c r="M263">
        <v>0.0600116484005167</v>
      </c>
      <c r="N263">
        <v>0.347984648910949</v>
      </c>
    </row>
    <row r="264" spans="1:14">
      <c r="A264" t="s">
        <v>29</v>
      </c>
      <c r="B264">
        <v>2005</v>
      </c>
      <c r="C264">
        <v>0.948020290033248</v>
      </c>
      <c r="D264">
        <v>0.999727270438582</v>
      </c>
      <c r="E264">
        <v>0.275807292408489</v>
      </c>
      <c r="F264">
        <v>0.998934777549581</v>
      </c>
      <c r="G264">
        <v>0.857047555513199</v>
      </c>
      <c r="H264">
        <v>0.952976512371799</v>
      </c>
      <c r="I264">
        <v>0.477704194260486</v>
      </c>
      <c r="J264">
        <v>0.708659281072819</v>
      </c>
      <c r="K264">
        <v>0.981365875746358</v>
      </c>
      <c r="L264">
        <v>0.993331738984995</v>
      </c>
      <c r="M264">
        <v>0.0691775193754264</v>
      </c>
      <c r="N264">
        <v>0.346774782399742</v>
      </c>
    </row>
    <row r="265" spans="1:14">
      <c r="A265" t="s">
        <v>29</v>
      </c>
      <c r="B265">
        <v>2006</v>
      </c>
      <c r="C265">
        <v>0.941213220250442</v>
      </c>
      <c r="D265">
        <v>0.99832491513607</v>
      </c>
      <c r="E265">
        <v>0.323885486397949</v>
      </c>
      <c r="F265">
        <v>0.998084591638662</v>
      </c>
      <c r="G265">
        <v>0.795735383221842</v>
      </c>
      <c r="H265">
        <v>0.937205471440162</v>
      </c>
      <c r="I265">
        <v>0.47130242825607</v>
      </c>
      <c r="J265">
        <v>0.684156243118579</v>
      </c>
      <c r="K265">
        <v>0.975013389982488</v>
      </c>
      <c r="L265">
        <v>0.987420210393129</v>
      </c>
      <c r="M265">
        <v>0.0758412247608207</v>
      </c>
      <c r="N265">
        <v>0.36028539500987</v>
      </c>
    </row>
    <row r="266" spans="1:14">
      <c r="A266" t="s">
        <v>29</v>
      </c>
      <c r="B266">
        <v>2007</v>
      </c>
      <c r="C266">
        <v>0.933110720352564</v>
      </c>
      <c r="D266">
        <v>0.99745511441716</v>
      </c>
      <c r="E266">
        <v>0.196838057256801</v>
      </c>
      <c r="F266">
        <v>0.99771677968159</v>
      </c>
      <c r="G266">
        <v>0.852128139407378</v>
      </c>
      <c r="H266">
        <v>0.942725335766235</v>
      </c>
      <c r="I266">
        <v>0.429359823399559</v>
      </c>
      <c r="J266">
        <v>0.641668216715168</v>
      </c>
      <c r="K266">
        <v>0.971201836269307</v>
      </c>
      <c r="L266">
        <v>0.982158445389534</v>
      </c>
      <c r="M266">
        <v>0.0800463064049968</v>
      </c>
      <c r="N266">
        <v>0.313107522475762</v>
      </c>
    </row>
    <row r="267" spans="1:14">
      <c r="A267" t="s">
        <v>29</v>
      </c>
      <c r="B267">
        <v>2008</v>
      </c>
      <c r="C267">
        <v>0.929076668712121</v>
      </c>
      <c r="D267">
        <v>0.993926977586404</v>
      </c>
      <c r="E267">
        <v>0.1398661159379</v>
      </c>
      <c r="F267">
        <v>0.998216993464052</v>
      </c>
      <c r="G267">
        <v>0.819717868592557</v>
      </c>
      <c r="H267">
        <v>0.951399408278635</v>
      </c>
      <c r="I267">
        <v>0.403752759381898</v>
      </c>
      <c r="J267">
        <v>0.611894410333989</v>
      </c>
      <c r="K267">
        <v>0.97032518410318</v>
      </c>
      <c r="L267">
        <v>0.975706876359378</v>
      </c>
      <c r="M267">
        <v>0.0841385132992844</v>
      </c>
      <c r="N267">
        <v>0.288517711583328</v>
      </c>
    </row>
    <row r="268" spans="1:14">
      <c r="A268" t="s">
        <v>29</v>
      </c>
      <c r="B268">
        <v>2009</v>
      </c>
      <c r="C268">
        <v>0.921418586492178</v>
      </c>
      <c r="D268">
        <v>0.993777892559644</v>
      </c>
      <c r="E268">
        <v>0.110810425865261</v>
      </c>
      <c r="F268">
        <v>0.997888999650873</v>
      </c>
      <c r="G268">
        <v>0.849136065264884</v>
      </c>
      <c r="H268">
        <v>0.913548910042706</v>
      </c>
      <c r="I268">
        <v>0.376379690949227</v>
      </c>
      <c r="J268">
        <v>0.589644525295082</v>
      </c>
      <c r="K268">
        <v>0.972504104151548</v>
      </c>
      <c r="L268">
        <v>0.967188758921378</v>
      </c>
      <c r="M268">
        <v>0.0858513209807679</v>
      </c>
      <c r="N268">
        <v>0.276089923720488</v>
      </c>
    </row>
    <row r="269" spans="1:14">
      <c r="A269" t="s">
        <v>29</v>
      </c>
      <c r="B269">
        <v>2010</v>
      </c>
      <c r="C269">
        <v>0.910251408187659</v>
      </c>
      <c r="D269">
        <v>0.990801453455838</v>
      </c>
      <c r="E269">
        <v>0.1088164079191</v>
      </c>
      <c r="F269">
        <v>0.997205279464918</v>
      </c>
      <c r="G269">
        <v>0.840269099587518</v>
      </c>
      <c r="H269">
        <v>0.897777869111069</v>
      </c>
      <c r="I269">
        <v>0.347240618101545</v>
      </c>
      <c r="J269">
        <v>0.566791117153853</v>
      </c>
      <c r="K269">
        <v>0.961037796792256</v>
      </c>
      <c r="L269">
        <v>0.958542918412523</v>
      </c>
      <c r="M269">
        <v>0.0991023377423213</v>
      </c>
      <c r="N269">
        <v>0.275041478319428</v>
      </c>
    </row>
    <row r="270" spans="1:14">
      <c r="A270" t="s">
        <v>29</v>
      </c>
      <c r="B270">
        <v>2011</v>
      </c>
      <c r="C270">
        <v>0.893295452279839</v>
      </c>
      <c r="D270">
        <v>0.988699888916248</v>
      </c>
      <c r="E270">
        <v>0.0810425865261358</v>
      </c>
      <c r="F270">
        <v>0.995946385663538</v>
      </c>
      <c r="G270">
        <v>0.896157186552041</v>
      </c>
      <c r="H270">
        <v>0.911183253902961</v>
      </c>
      <c r="I270">
        <v>0.390949227373068</v>
      </c>
      <c r="J270">
        <v>0.498794180958999</v>
      </c>
      <c r="K270">
        <v>0.933086610411793</v>
      </c>
      <c r="L270">
        <v>0.945122764581907</v>
      </c>
      <c r="M270">
        <v>0.0183744003090927</v>
      </c>
      <c r="N270">
        <v>0.236022980759721</v>
      </c>
    </row>
    <row r="271" spans="1:14">
      <c r="A271" t="s">
        <v>29</v>
      </c>
      <c r="B271">
        <v>2012</v>
      </c>
      <c r="C271">
        <v>0.889157793482309</v>
      </c>
      <c r="D271">
        <v>0.979124545257004</v>
      </c>
      <c r="E271">
        <v>0.0797607178464605</v>
      </c>
      <c r="F271">
        <v>0.994936017364232</v>
      </c>
      <c r="G271">
        <v>0.802499912222183</v>
      </c>
      <c r="H271">
        <v>0.910394701856379</v>
      </c>
      <c r="I271">
        <v>0.377704194260486</v>
      </c>
      <c r="J271">
        <v>0.482539292069815</v>
      </c>
      <c r="K271">
        <v>0.909793955094741</v>
      </c>
      <c r="L271">
        <v>0.93456022898637</v>
      </c>
      <c r="M271">
        <v>0.018586307265576</v>
      </c>
      <c r="N271">
        <v>0.227789436092462</v>
      </c>
    </row>
    <row r="272" spans="1:14">
      <c r="A272" t="s">
        <v>29</v>
      </c>
      <c r="B272">
        <v>2013</v>
      </c>
      <c r="C272">
        <v>0.879050863866548</v>
      </c>
      <c r="D272">
        <v>0.971177294518205</v>
      </c>
      <c r="E272">
        <v>0.0697906281156531</v>
      </c>
      <c r="F272">
        <v>0.994920355473811</v>
      </c>
      <c r="G272">
        <v>0.848490542991102</v>
      </c>
      <c r="H272">
        <v>0.914337462089288</v>
      </c>
      <c r="I272">
        <v>0.365378366445916</v>
      </c>
      <c r="J272">
        <v>0.483184283915079</v>
      </c>
      <c r="K272">
        <v>0.893723797189442</v>
      </c>
      <c r="L272">
        <v>0.922340276460488</v>
      </c>
      <c r="M272">
        <v>0.0163156741489016</v>
      </c>
      <c r="N272">
        <v>0.223953138078921</v>
      </c>
    </row>
    <row r="273" spans="1:14">
      <c r="A273" t="s">
        <v>29</v>
      </c>
      <c r="B273">
        <v>2014</v>
      </c>
      <c r="C273">
        <v>0.869971354166667</v>
      </c>
      <c r="D273">
        <v>0.967075542772002</v>
      </c>
      <c r="E273">
        <v>0.0686511892892749</v>
      </c>
      <c r="F273">
        <v>0.994323426539411</v>
      </c>
      <c r="G273">
        <v>0.84121834647756</v>
      </c>
      <c r="H273">
        <v>0.882006828179433</v>
      </c>
      <c r="I273">
        <v>0.353352317880795</v>
      </c>
      <c r="J273">
        <v>0.47515004131965</v>
      </c>
      <c r="K273">
        <v>0.871821811653736</v>
      </c>
      <c r="L273">
        <v>0.915111161635026</v>
      </c>
      <c r="M273">
        <v>0.0193448673837473</v>
      </c>
      <c r="N273">
        <v>0.221584268275415</v>
      </c>
    </row>
    <row r="274" spans="1:14">
      <c r="A274" t="s">
        <v>29</v>
      </c>
      <c r="B274">
        <v>2015</v>
      </c>
      <c r="C274">
        <v>0.861448903753252</v>
      </c>
      <c r="D274">
        <v>0.960272548674027</v>
      </c>
      <c r="E274">
        <v>0.0736362341546788</v>
      </c>
      <c r="F274">
        <v>0.994314163419468</v>
      </c>
      <c r="G274">
        <v>0.811483283492457</v>
      </c>
      <c r="H274">
        <v>0.86387013110805</v>
      </c>
      <c r="I274">
        <v>0.340726710816777</v>
      </c>
      <c r="J274">
        <v>0.484474267605604</v>
      </c>
      <c r="K274">
        <v>0.861583481378845</v>
      </c>
      <c r="L274">
        <v>0.906006351000146</v>
      </c>
      <c r="M274">
        <v>0.0142055784729416</v>
      </c>
      <c r="N274">
        <v>0.218973706665988</v>
      </c>
    </row>
    <row r="275" spans="1:14">
      <c r="A275" t="s">
        <v>29</v>
      </c>
      <c r="B275">
        <v>2016</v>
      </c>
      <c r="C275">
        <v>0.849581479833926</v>
      </c>
      <c r="D275">
        <v>0.95573393413691</v>
      </c>
      <c r="E275">
        <v>0.0667996011964107</v>
      </c>
      <c r="F275">
        <v>0.993440946486731</v>
      </c>
      <c r="G275">
        <v>0.789721565529093</v>
      </c>
      <c r="H275">
        <v>0.856773162688814</v>
      </c>
      <c r="I275">
        <v>0.329300220750552</v>
      </c>
      <c r="J275">
        <v>0.459081556128795</v>
      </c>
      <c r="K275">
        <v>0.828017840582324</v>
      </c>
      <c r="L275">
        <v>0.898006941405379</v>
      </c>
      <c r="M275">
        <v>0.0187796853941318</v>
      </c>
      <c r="N275">
        <v>0.213031329628615</v>
      </c>
    </row>
    <row r="276" spans="1:14">
      <c r="A276" t="s">
        <v>29</v>
      </c>
      <c r="B276">
        <v>2017</v>
      </c>
      <c r="C276">
        <v>0.836014926476022</v>
      </c>
      <c r="D276">
        <v>0.951023786967699</v>
      </c>
      <c r="E276">
        <v>0.0373166215638798</v>
      </c>
      <c r="F276">
        <v>0.993285154775951</v>
      </c>
      <c r="G276">
        <v>0.81522251484126</v>
      </c>
      <c r="H276">
        <v>0.870178547480705</v>
      </c>
      <c r="I276">
        <v>0.307400883002207</v>
      </c>
      <c r="J276">
        <v>0.429179762615051</v>
      </c>
      <c r="K276">
        <v>0.808009336568649</v>
      </c>
      <c r="L276">
        <v>0.890461376072887</v>
      </c>
      <c r="M276">
        <v>0.0198764518141359</v>
      </c>
      <c r="N276">
        <v>0.199602936693408</v>
      </c>
    </row>
    <row r="277" spans="1:14">
      <c r="A277" t="s">
        <v>29</v>
      </c>
      <c r="B277">
        <v>2018</v>
      </c>
      <c r="C277">
        <v>0.818987000517025</v>
      </c>
      <c r="D277">
        <v>0.940908805622458</v>
      </c>
      <c r="E277">
        <v>0.0370262070930067</v>
      </c>
      <c r="F277">
        <v>0.992572753627835</v>
      </c>
      <c r="G277">
        <v>0.840016326538984</v>
      </c>
      <c r="H277">
        <v>0.904428517071941</v>
      </c>
      <c r="I277">
        <v>0.289316556291391</v>
      </c>
      <c r="J277">
        <v>0.389326798546121</v>
      </c>
      <c r="K277">
        <v>0.709104939072208</v>
      </c>
      <c r="L277">
        <v>0.884246072529731</v>
      </c>
      <c r="M277">
        <v>0.0207472063409159</v>
      </c>
      <c r="N277">
        <v>0.194083457843157</v>
      </c>
    </row>
    <row r="278" spans="1:14">
      <c r="A278" t="s">
        <v>29</v>
      </c>
      <c r="B278">
        <v>2019</v>
      </c>
      <c r="C278">
        <v>0.805562444641276</v>
      </c>
      <c r="D278">
        <v>0.939504305338998</v>
      </c>
      <c r="E278">
        <v>0.0303268765133172</v>
      </c>
      <c r="F278">
        <v>0.992117977311743</v>
      </c>
      <c r="G278">
        <v>0.803860687357739</v>
      </c>
      <c r="H278">
        <v>0.902819038185953</v>
      </c>
      <c r="I278">
        <v>0.277723399558499</v>
      </c>
      <c r="J278">
        <v>0.366598239217325</v>
      </c>
      <c r="K278">
        <v>0.62885780388516</v>
      </c>
      <c r="L278">
        <v>0.89126046101894</v>
      </c>
      <c r="M278">
        <v>0.0184437525173287</v>
      </c>
      <c r="N278">
        <v>0.184536304970408</v>
      </c>
    </row>
    <row r="279" spans="1:14">
      <c r="A279" t="s">
        <v>29</v>
      </c>
      <c r="B279">
        <v>2020</v>
      </c>
      <c r="C279">
        <v>0.79417975953382</v>
      </c>
      <c r="D279">
        <v>0.938030712649754</v>
      </c>
      <c r="E279">
        <v>0.0343255946446375</v>
      </c>
      <c r="F279">
        <v>0.991691527507631</v>
      </c>
      <c r="G279">
        <v>0.811655073140613</v>
      </c>
      <c r="H279">
        <v>0.863471303120757</v>
      </c>
      <c r="I279">
        <v>0.264900662251656</v>
      </c>
      <c r="J279">
        <v>0.363484301418589</v>
      </c>
      <c r="K279">
        <v>0.626470848851222</v>
      </c>
      <c r="L279">
        <v>0.878677307434972</v>
      </c>
      <c r="M279">
        <v>0.018338207331133</v>
      </c>
      <c r="N279">
        <v>0.184246051952444</v>
      </c>
    </row>
    <row r="280" spans="1:14">
      <c r="A280" t="s">
        <v>29</v>
      </c>
      <c r="B280">
        <v>2021</v>
      </c>
      <c r="C280">
        <v>0.764220721717955</v>
      </c>
      <c r="D280">
        <v>0.91658837490823</v>
      </c>
      <c r="E280">
        <v>0.0176199971514029</v>
      </c>
      <c r="F280">
        <v>0.990120368498783</v>
      </c>
      <c r="G280">
        <v>0.803561348591369</v>
      </c>
      <c r="H280">
        <v>0.865594547785639</v>
      </c>
      <c r="I280">
        <v>0.269315673289183</v>
      </c>
      <c r="J280">
        <v>0.352218536841927</v>
      </c>
      <c r="K280">
        <v>0.56983864163219</v>
      </c>
      <c r="L280">
        <v>0.859155262152795</v>
      </c>
      <c r="M280">
        <v>0.0182666444691041</v>
      </c>
      <c r="N280">
        <v>0.174534377313849</v>
      </c>
    </row>
    <row r="281" spans="1:14">
      <c r="A281" t="s">
        <v>29</v>
      </c>
      <c r="B281">
        <v>2022</v>
      </c>
      <c r="C281">
        <v>0.749643330388693</v>
      </c>
      <c r="D281">
        <v>0.907868172691542</v>
      </c>
      <c r="E281">
        <v>0.0168608460333287</v>
      </c>
      <c r="F281">
        <v>0.989851861558372</v>
      </c>
      <c r="G281">
        <v>0.795653916430531</v>
      </c>
      <c r="H281">
        <v>0.8360361510576</v>
      </c>
      <c r="I281">
        <v>0.264327152317881</v>
      </c>
      <c r="J281">
        <v>0.343132335596988</v>
      </c>
      <c r="K281">
        <v>0.517905846167</v>
      </c>
      <c r="L281">
        <v>0.875734523455368</v>
      </c>
      <c r="M281">
        <v>0.0184970733638256</v>
      </c>
      <c r="N281">
        <v>0.171281630942352</v>
      </c>
    </row>
    <row r="282" spans="1:14">
      <c r="A282" t="s">
        <v>30</v>
      </c>
      <c r="B282">
        <v>2003</v>
      </c>
      <c r="C282">
        <v>0.91256037260274</v>
      </c>
      <c r="D282">
        <v>0.988743378422509</v>
      </c>
      <c r="E282">
        <v>0.430678820680815</v>
      </c>
      <c r="F282">
        <v>0.985560820476444</v>
      </c>
      <c r="G282">
        <v>0.99987094179769</v>
      </c>
      <c r="H282">
        <v>0.903885756698278</v>
      </c>
      <c r="I282">
        <v>0.480794701986755</v>
      </c>
      <c r="J282">
        <v>0.789531376783858</v>
      </c>
      <c r="K282">
        <v>0.954791144287878</v>
      </c>
      <c r="L282">
        <v>0.935875994509088</v>
      </c>
      <c r="M282">
        <v>0.16657115345922</v>
      </c>
      <c r="N282">
        <v>0.446336525464769</v>
      </c>
    </row>
    <row r="283" spans="1:14">
      <c r="A283" t="s">
        <v>30</v>
      </c>
      <c r="B283">
        <v>2004</v>
      </c>
      <c r="C283">
        <v>0.897877086801017</v>
      </c>
      <c r="D283">
        <v>0.986365733906835</v>
      </c>
      <c r="E283">
        <v>0.366177040307648</v>
      </c>
      <c r="F283">
        <v>0.985877889478659</v>
      </c>
      <c r="G283">
        <v>0.999652154137215</v>
      </c>
      <c r="H283">
        <v>0.879403344742438</v>
      </c>
      <c r="I283">
        <v>0.471081677704194</v>
      </c>
      <c r="J283">
        <v>0.700652541248692</v>
      </c>
      <c r="K283">
        <v>0.947626855168845</v>
      </c>
      <c r="L283">
        <v>0.922721804667589</v>
      </c>
      <c r="M283">
        <v>0.155150114998135</v>
      </c>
      <c r="N283">
        <v>0.411016551602322</v>
      </c>
    </row>
    <row r="284" spans="1:14">
      <c r="A284" t="s">
        <v>30</v>
      </c>
      <c r="B284">
        <v>2005</v>
      </c>
      <c r="C284">
        <v>0.881833359789504</v>
      </c>
      <c r="D284">
        <v>0.979323355003951</v>
      </c>
      <c r="E284">
        <v>0.345596068936049</v>
      </c>
      <c r="F284">
        <v>0.98809560417589</v>
      </c>
      <c r="G284">
        <v>0.999367999719111</v>
      </c>
      <c r="H284">
        <v>0.894623660924742</v>
      </c>
      <c r="I284">
        <v>0.471081677704194</v>
      </c>
      <c r="J284">
        <v>0.700652541248692</v>
      </c>
      <c r="K284">
        <v>0.937745141475204</v>
      </c>
      <c r="L284">
        <v>0.894951944741606</v>
      </c>
      <c r="M284">
        <v>0.159569208048491</v>
      </c>
      <c r="N284">
        <v>0.404125265787684</v>
      </c>
    </row>
    <row r="285" spans="1:14">
      <c r="A285" t="s">
        <v>30</v>
      </c>
      <c r="B285">
        <v>2006</v>
      </c>
      <c r="C285">
        <v>0.86047182010241</v>
      </c>
      <c r="D285">
        <v>0.974062342428968</v>
      </c>
      <c r="E285">
        <v>0.0787637088733799</v>
      </c>
      <c r="F285">
        <v>0.991594502180068</v>
      </c>
      <c r="G285">
        <v>0.998239037199459</v>
      </c>
      <c r="H285">
        <v>0.870178547480705</v>
      </c>
      <c r="I285">
        <v>0.446136865342163</v>
      </c>
      <c r="J285">
        <v>0.669953332777287</v>
      </c>
      <c r="K285">
        <v>0.930086756295678</v>
      </c>
      <c r="L285">
        <v>0.883248261039293</v>
      </c>
      <c r="M285">
        <v>0.151895419444943</v>
      </c>
      <c r="N285">
        <v>0.301481527008878</v>
      </c>
    </row>
    <row r="286" spans="1:14">
      <c r="A286" t="s">
        <v>30</v>
      </c>
      <c r="B286">
        <v>2007</v>
      </c>
      <c r="C286">
        <v>0.841563379772962</v>
      </c>
      <c r="D286">
        <v>0.973373000435068</v>
      </c>
      <c r="E286">
        <v>0.0417319470160947</v>
      </c>
      <c r="F286">
        <v>0.992702659281493</v>
      </c>
      <c r="G286">
        <v>0.99807267505507</v>
      </c>
      <c r="H286">
        <v>0.904874837530306</v>
      </c>
      <c r="I286">
        <v>0.29757174392936</v>
      </c>
      <c r="J286">
        <v>0.655267603954139</v>
      </c>
      <c r="K286">
        <v>0.910323328908396</v>
      </c>
      <c r="L286">
        <v>0.868002012641233</v>
      </c>
      <c r="M286">
        <v>0.131193523044149</v>
      </c>
      <c r="N286">
        <v>0.268951829109791</v>
      </c>
    </row>
    <row r="287" spans="1:14">
      <c r="A287" t="s">
        <v>30</v>
      </c>
      <c r="B287">
        <v>2008</v>
      </c>
      <c r="C287">
        <v>0.834457316661357</v>
      </c>
      <c r="D287">
        <v>0.960842665186189</v>
      </c>
      <c r="E287">
        <v>0.0213644779945877</v>
      </c>
      <c r="F287">
        <v>0.989850464198611</v>
      </c>
      <c r="G287">
        <v>0.997031762368832</v>
      </c>
      <c r="H287">
        <v>0.874121307713614</v>
      </c>
      <c r="I287">
        <v>0.291169977924945</v>
      </c>
      <c r="J287">
        <v>0.638972480191467</v>
      </c>
      <c r="K287">
        <v>0.894062982410305</v>
      </c>
      <c r="L287">
        <v>0.850534350445407</v>
      </c>
      <c r="M287">
        <v>0.123398784740375</v>
      </c>
      <c r="N287">
        <v>0.255763111775757</v>
      </c>
    </row>
    <row r="288" spans="1:14">
      <c r="A288" t="s">
        <v>30</v>
      </c>
      <c r="B288">
        <v>2009</v>
      </c>
      <c r="C288">
        <v>0.82245933657163</v>
      </c>
      <c r="D288">
        <v>0.95458225738282</v>
      </c>
      <c r="E288">
        <v>0.0118216778236718</v>
      </c>
      <c r="F288">
        <v>0.992324652237424</v>
      </c>
      <c r="G288">
        <v>0.995468940282724</v>
      </c>
      <c r="H288">
        <v>0.87254420362045</v>
      </c>
      <c r="I288">
        <v>0.253200883002207</v>
      </c>
      <c r="J288">
        <v>0.617607762369296</v>
      </c>
      <c r="K288">
        <v>0.845607950858505</v>
      </c>
      <c r="L288">
        <v>0.834260631660473</v>
      </c>
      <c r="M288">
        <v>0.121622255525892</v>
      </c>
      <c r="N288">
        <v>0.245591481736024</v>
      </c>
    </row>
    <row r="289" spans="1:14">
      <c r="A289" t="s">
        <v>30</v>
      </c>
      <c r="B289">
        <v>2010</v>
      </c>
      <c r="C289">
        <v>0.80333545751634</v>
      </c>
      <c r="D289">
        <v>0.947601160986666</v>
      </c>
      <c r="E289">
        <v>0.00997008973080762</v>
      </c>
      <c r="F289">
        <v>0.991194484682641</v>
      </c>
      <c r="G289">
        <v>0.991259135552247</v>
      </c>
      <c r="H289">
        <v>0.862293027014886</v>
      </c>
      <c r="I289">
        <v>0.222516556291391</v>
      </c>
      <c r="J289">
        <v>0.59680633277596</v>
      </c>
      <c r="K289">
        <v>0.82064676157489</v>
      </c>
      <c r="L289">
        <v>0.813677993359585</v>
      </c>
      <c r="M289">
        <v>0.0831225172526304</v>
      </c>
      <c r="N289">
        <v>0.225781256829121</v>
      </c>
    </row>
    <row r="290" spans="1:14">
      <c r="A290" t="s">
        <v>30</v>
      </c>
      <c r="B290">
        <v>2011</v>
      </c>
      <c r="C290">
        <v>0.784981438782549</v>
      </c>
      <c r="D290">
        <v>0.943299267769526</v>
      </c>
      <c r="E290">
        <v>0.007406352371457</v>
      </c>
      <c r="F290">
        <v>0.989535413880203</v>
      </c>
      <c r="G290">
        <v>0.986434840545231</v>
      </c>
      <c r="H290">
        <v>0.848887642222995</v>
      </c>
      <c r="I290">
        <v>0.190066225165563</v>
      </c>
      <c r="J290">
        <v>0.56433678987108</v>
      </c>
      <c r="K290">
        <v>0.81644694506071</v>
      </c>
      <c r="L290">
        <v>0.792692008292111</v>
      </c>
      <c r="M290">
        <v>0.105649718568435</v>
      </c>
      <c r="N290">
        <v>0.226833295505834</v>
      </c>
    </row>
    <row r="291" spans="1:14">
      <c r="A291" t="s">
        <v>30</v>
      </c>
      <c r="B291">
        <v>2012</v>
      </c>
      <c r="C291">
        <v>0.776553401387172</v>
      </c>
      <c r="D291">
        <v>0.927185980642606</v>
      </c>
      <c r="E291">
        <v>0.007406352371457</v>
      </c>
      <c r="F291">
        <v>0.989191309594221</v>
      </c>
      <c r="G291">
        <v>0.980325661753934</v>
      </c>
      <c r="H291">
        <v>0.788957686682775</v>
      </c>
      <c r="I291">
        <v>0.15916114790287</v>
      </c>
      <c r="J291">
        <v>0.548242840475848</v>
      </c>
      <c r="K291">
        <v>0.792977900977837</v>
      </c>
      <c r="L291">
        <v>0.76943570454229</v>
      </c>
      <c r="M291">
        <v>0.108496281630272</v>
      </c>
      <c r="N291">
        <v>0.222053742166512</v>
      </c>
    </row>
    <row r="292" spans="1:14">
      <c r="A292" t="s">
        <v>30</v>
      </c>
      <c r="B292">
        <v>2013</v>
      </c>
      <c r="C292">
        <v>0.760505335522266</v>
      </c>
      <c r="D292">
        <v>0.925467701448666</v>
      </c>
      <c r="E292">
        <v>0.00598205383848457</v>
      </c>
      <c r="F292">
        <v>0.988609121905841</v>
      </c>
      <c r="G292">
        <v>0.973849677933746</v>
      </c>
      <c r="H292">
        <v>0.672251983788662</v>
      </c>
      <c r="I292">
        <v>0.210117365710088</v>
      </c>
      <c r="J292">
        <v>0.552086035356556</v>
      </c>
      <c r="K292">
        <v>0.783205928765363</v>
      </c>
      <c r="L292">
        <v>0.748996720990554</v>
      </c>
      <c r="M292">
        <v>0.105205324025104</v>
      </c>
      <c r="N292">
        <v>0.221693413108199</v>
      </c>
    </row>
    <row r="293" spans="1:14">
      <c r="A293" t="s">
        <v>30</v>
      </c>
      <c r="B293">
        <v>2014</v>
      </c>
      <c r="C293">
        <v>0.753859264545949</v>
      </c>
      <c r="D293">
        <v>0.920021365998821</v>
      </c>
      <c r="E293">
        <v>0.00726392251815988</v>
      </c>
      <c r="F293">
        <v>0.98929349002409</v>
      </c>
      <c r="G293">
        <v>0.975501139048556</v>
      </c>
      <c r="H293">
        <v>0.578414290245422</v>
      </c>
      <c r="I293">
        <v>0.229813343144459</v>
      </c>
      <c r="J293">
        <v>0.53829635057761</v>
      </c>
      <c r="K293">
        <v>0.761851762927319</v>
      </c>
      <c r="L293">
        <v>0.732971010799244</v>
      </c>
      <c r="M293">
        <v>0.121178255728392</v>
      </c>
      <c r="N293">
        <v>0.226185292671178</v>
      </c>
    </row>
    <row r="294" spans="1:14">
      <c r="A294" t="s">
        <v>30</v>
      </c>
      <c r="B294">
        <v>2015</v>
      </c>
      <c r="C294">
        <v>0.703505135482127</v>
      </c>
      <c r="D294">
        <v>0.912983794642437</v>
      </c>
      <c r="E294">
        <v>0.00897308075772675</v>
      </c>
      <c r="F294">
        <v>0.989951702356998</v>
      </c>
      <c r="G294">
        <v>0.970753396830477</v>
      </c>
      <c r="H294">
        <v>0.509810262192802</v>
      </c>
      <c r="I294">
        <v>0.312029801324503</v>
      </c>
      <c r="J294">
        <v>0.559772425117972</v>
      </c>
      <c r="K294">
        <v>0.763661984340413</v>
      </c>
      <c r="L294">
        <v>0.697323130894578</v>
      </c>
      <c r="M294">
        <v>0.158702070607612</v>
      </c>
      <c r="N294">
        <v>0.244587804751865</v>
      </c>
    </row>
    <row r="295" spans="1:14">
      <c r="A295" t="s">
        <v>30</v>
      </c>
      <c r="B295">
        <v>2016</v>
      </c>
      <c r="C295">
        <v>0.690980146395267</v>
      </c>
      <c r="D295">
        <v>0.896705153475236</v>
      </c>
      <c r="E295">
        <v>0.00697906281156523</v>
      </c>
      <c r="F295">
        <v>0.990352280577797</v>
      </c>
      <c r="G295">
        <v>0.960491859882735</v>
      </c>
      <c r="H295">
        <v>0.535832479730002</v>
      </c>
      <c r="I295">
        <v>0.269205298013245</v>
      </c>
      <c r="J295">
        <v>0.510716981019721</v>
      </c>
      <c r="K295">
        <v>0.719143431251233</v>
      </c>
      <c r="L295">
        <v>0.676086524583782</v>
      </c>
      <c r="M295">
        <v>0.0339452504383355</v>
      </c>
      <c r="N295">
        <v>0.190695373626938</v>
      </c>
    </row>
    <row r="296" spans="1:14">
      <c r="A296" t="s">
        <v>30</v>
      </c>
      <c r="B296">
        <v>2017</v>
      </c>
      <c r="C296">
        <v>0.690606000199342</v>
      </c>
      <c r="D296">
        <v>0.862486385892677</v>
      </c>
      <c r="E296">
        <v>0.00612448369178189</v>
      </c>
      <c r="F296">
        <v>0.989468420121784</v>
      </c>
      <c r="G296">
        <v>0.949554847264431</v>
      </c>
      <c r="H296">
        <v>0.48773080488851</v>
      </c>
      <c r="I296">
        <v>0.239351214128035</v>
      </c>
      <c r="J296">
        <v>0.484559565537398</v>
      </c>
      <c r="K296">
        <v>0.671019595546785</v>
      </c>
      <c r="L296">
        <v>0.658808155741366</v>
      </c>
      <c r="M296">
        <v>0.0273315290543459</v>
      </c>
      <c r="N296">
        <v>0.180709514891784</v>
      </c>
    </row>
    <row r="297" spans="1:14">
      <c r="A297" t="s">
        <v>30</v>
      </c>
      <c r="B297">
        <v>2018</v>
      </c>
      <c r="C297">
        <v>0.664329496212497</v>
      </c>
      <c r="D297">
        <v>0.838160732622296</v>
      </c>
      <c r="E297">
        <v>0.0113979490101126</v>
      </c>
      <c r="F297">
        <v>0.988081339195485</v>
      </c>
      <c r="G297">
        <v>0.924441770430319</v>
      </c>
      <c r="H297">
        <v>0.647573458938836</v>
      </c>
      <c r="I297">
        <v>0.16005298013245</v>
      </c>
      <c r="J297">
        <v>0.415189936163752</v>
      </c>
      <c r="K297">
        <v>0.583239207445847</v>
      </c>
      <c r="L297">
        <v>0.646478344762766</v>
      </c>
      <c r="M297">
        <v>0.0232051891469426</v>
      </c>
      <c r="N297">
        <v>0.167363687955252</v>
      </c>
    </row>
    <row r="298" spans="1:14">
      <c r="A298" t="s">
        <v>30</v>
      </c>
      <c r="B298">
        <v>2019</v>
      </c>
      <c r="C298">
        <v>0.648209479517119</v>
      </c>
      <c r="D298">
        <v>0.803574922633137</v>
      </c>
      <c r="E298">
        <v>0.0121888619854721</v>
      </c>
      <c r="F298">
        <v>0.987681946793713</v>
      </c>
      <c r="G298">
        <v>0.885448703424485</v>
      </c>
      <c r="H298">
        <v>0.575011618771841</v>
      </c>
      <c r="I298">
        <v>0.143868432671082</v>
      </c>
      <c r="J298">
        <v>0.398097638852661</v>
      </c>
      <c r="K298">
        <v>0.5417957330935</v>
      </c>
      <c r="L298">
        <v>0.648161758235195</v>
      </c>
      <c r="M298">
        <v>0.0205468406732311</v>
      </c>
      <c r="N298">
        <v>0.159611738924832</v>
      </c>
    </row>
    <row r="299" spans="1:14">
      <c r="A299" t="s">
        <v>30</v>
      </c>
      <c r="B299">
        <v>2020</v>
      </c>
      <c r="C299">
        <v>0.609703230037711</v>
      </c>
      <c r="D299">
        <v>0.774841842657629</v>
      </c>
      <c r="E299">
        <v>0.00982765987751029</v>
      </c>
      <c r="F299">
        <v>0.98730132162372</v>
      </c>
      <c r="G299">
        <v>0.884891259455793</v>
      </c>
      <c r="H299">
        <v>0.716484687905706</v>
      </c>
      <c r="I299">
        <v>0.130242825607064</v>
      </c>
      <c r="J299">
        <v>0.391246364125364</v>
      </c>
      <c r="K299">
        <v>0.532050980088614</v>
      </c>
      <c r="L299">
        <v>0.615332836423695</v>
      </c>
      <c r="M299">
        <v>0.020392679565102</v>
      </c>
      <c r="N299">
        <v>0.156282058307951</v>
      </c>
    </row>
    <row r="300" spans="1:14">
      <c r="A300" t="s">
        <v>30</v>
      </c>
      <c r="B300">
        <v>2021</v>
      </c>
      <c r="C300">
        <v>0.584993608652901</v>
      </c>
      <c r="D300">
        <v>0.761636557444399</v>
      </c>
      <c r="E300">
        <v>0.00956986184304221</v>
      </c>
      <c r="F300">
        <v>0.986517775990168</v>
      </c>
      <c r="G300">
        <v>0.849964534135302</v>
      </c>
      <c r="H300">
        <v>0.742741487523891</v>
      </c>
      <c r="I300">
        <v>0.169977924944812</v>
      </c>
      <c r="J300">
        <v>0.367910137502278</v>
      </c>
      <c r="K300">
        <v>0.46689846917378</v>
      </c>
      <c r="L300">
        <v>0.612350759853374</v>
      </c>
      <c r="M300">
        <v>0.0203083326910642</v>
      </c>
      <c r="N300">
        <v>0.153241704816501</v>
      </c>
    </row>
    <row r="301" spans="1:14">
      <c r="A301" t="s">
        <v>30</v>
      </c>
      <c r="B301">
        <v>2022</v>
      </c>
      <c r="C301">
        <v>0.574807799534258</v>
      </c>
      <c r="D301">
        <v>0.775575797993337</v>
      </c>
      <c r="E301">
        <v>0.0074804158951716</v>
      </c>
      <c r="F301">
        <v>0.987158447174772</v>
      </c>
      <c r="G301">
        <v>0.850309223862608</v>
      </c>
      <c r="H301">
        <v>0.61212631648258</v>
      </c>
      <c r="I301">
        <v>0.161085651214128</v>
      </c>
      <c r="J301">
        <v>0.352802344856239</v>
      </c>
      <c r="K301">
        <v>0.424468255313815</v>
      </c>
      <c r="L301">
        <v>0.622061760770549</v>
      </c>
      <c r="M301">
        <v>0.0189714791611522</v>
      </c>
      <c r="N301">
        <v>0.1483789988318</v>
      </c>
    </row>
    <row r="302" spans="1:14">
      <c r="A302" t="s">
        <v>31</v>
      </c>
      <c r="B302">
        <v>2003</v>
      </c>
      <c r="C302">
        <v>0.938386905623944</v>
      </c>
      <c r="D302">
        <v>0.981457900988747</v>
      </c>
      <c r="E302">
        <v>0.55885315482125</v>
      </c>
      <c r="F302">
        <v>0.994078720743908</v>
      </c>
      <c r="G302">
        <v>0.94592086727456</v>
      </c>
      <c r="H302">
        <v>0.94872329919815</v>
      </c>
      <c r="I302">
        <v>0.631567328918322</v>
      </c>
      <c r="J302">
        <v>0.706003779422606</v>
      </c>
      <c r="K302">
        <v>0.994565047092688</v>
      </c>
      <c r="L302">
        <v>0.987472822042818</v>
      </c>
      <c r="M302">
        <v>0.0729936393430422</v>
      </c>
      <c r="N302">
        <v>0.462756818114399</v>
      </c>
    </row>
    <row r="303" spans="1:14">
      <c r="A303" t="s">
        <v>31</v>
      </c>
      <c r="B303">
        <v>2004</v>
      </c>
      <c r="C303">
        <v>0.92992957473157</v>
      </c>
      <c r="D303">
        <v>0.97768137700952</v>
      </c>
      <c r="E303">
        <v>0.481878364905284</v>
      </c>
      <c r="F303">
        <v>0.995891144705373</v>
      </c>
      <c r="G303">
        <v>0.940736154075072</v>
      </c>
      <c r="H303">
        <v>0.9404241831839</v>
      </c>
      <c r="I303">
        <v>0.573289183222958</v>
      </c>
      <c r="J303">
        <v>0.62360275851902</v>
      </c>
      <c r="K303">
        <v>0.99258866285072</v>
      </c>
      <c r="L303">
        <v>0.985256380882555</v>
      </c>
      <c r="M303">
        <v>0.0756691488112321</v>
      </c>
      <c r="N303">
        <v>0.425534874007336</v>
      </c>
    </row>
    <row r="304" spans="1:14">
      <c r="A304" t="s">
        <v>31</v>
      </c>
      <c r="B304">
        <v>2005</v>
      </c>
      <c r="C304">
        <v>0.917557146517413</v>
      </c>
      <c r="D304">
        <v>0.972982431118293</v>
      </c>
      <c r="E304">
        <v>0.43802720410198</v>
      </c>
      <c r="F304">
        <v>0.994796033424606</v>
      </c>
      <c r="G304">
        <v>0.951449918166703</v>
      </c>
      <c r="H304">
        <v>0.908029045716633</v>
      </c>
      <c r="I304">
        <v>0.573289183222958</v>
      </c>
      <c r="J304">
        <v>0.62360275851902</v>
      </c>
      <c r="K304">
        <v>0.99505914315318</v>
      </c>
      <c r="L304">
        <v>0.980901875622594</v>
      </c>
      <c r="M304">
        <v>0.0838694135765788</v>
      </c>
      <c r="N304">
        <v>0.412722585582649</v>
      </c>
    </row>
    <row r="305" spans="1:14">
      <c r="A305" t="s">
        <v>31</v>
      </c>
      <c r="B305">
        <v>2006</v>
      </c>
      <c r="C305">
        <v>0.9072683504046</v>
      </c>
      <c r="D305">
        <v>0.965255483523712</v>
      </c>
      <c r="E305">
        <v>0.523714570573992</v>
      </c>
      <c r="F305">
        <v>0.993304983402775</v>
      </c>
      <c r="G305">
        <v>0.948797197710666</v>
      </c>
      <c r="H305">
        <v>0.913548910042706</v>
      </c>
      <c r="I305">
        <v>0.554525386313466</v>
      </c>
      <c r="J305">
        <v>0.595156702962948</v>
      </c>
      <c r="K305">
        <v>0.992341614820475</v>
      </c>
      <c r="L305">
        <v>0.976496434964476</v>
      </c>
      <c r="M305">
        <v>0.0875945150759157</v>
      </c>
      <c r="N305">
        <v>0.440407656167055</v>
      </c>
    </row>
    <row r="306" spans="1:14">
      <c r="A306" t="s">
        <v>31</v>
      </c>
      <c r="B306">
        <v>2007</v>
      </c>
      <c r="C306">
        <v>0.889575596296296</v>
      </c>
      <c r="D306">
        <v>0.962156246313633</v>
      </c>
      <c r="E306">
        <v>0.443384133314343</v>
      </c>
      <c r="F306">
        <v>0.992937658828879</v>
      </c>
      <c r="G306">
        <v>0.951147689303599</v>
      </c>
      <c r="H306">
        <v>0.889103796598669</v>
      </c>
      <c r="I306">
        <v>0.47682119205298</v>
      </c>
      <c r="J306">
        <v>0.574878326724957</v>
      </c>
      <c r="K306">
        <v>0.985918573550276</v>
      </c>
      <c r="L306">
        <v>0.971144594249755</v>
      </c>
      <c r="M306">
        <v>0.0845979591221438</v>
      </c>
      <c r="N306">
        <v>0.403235850993788</v>
      </c>
    </row>
    <row r="307" spans="1:14">
      <c r="A307" t="s">
        <v>31</v>
      </c>
      <c r="B307">
        <v>2008</v>
      </c>
      <c r="C307">
        <v>0.88051520366246</v>
      </c>
      <c r="D307">
        <v>0.95666326243564</v>
      </c>
      <c r="E307">
        <v>0.471300384560604</v>
      </c>
      <c r="F307">
        <v>0.993299668761357</v>
      </c>
      <c r="G307">
        <v>0.958390109971895</v>
      </c>
      <c r="H307">
        <v>0.789746238729357</v>
      </c>
      <c r="I307">
        <v>0.558057395143488</v>
      </c>
      <c r="J307">
        <v>0.585741742566738</v>
      </c>
      <c r="K307">
        <v>0.984436285368801</v>
      </c>
      <c r="L307">
        <v>0.96407137268586</v>
      </c>
      <c r="M307">
        <v>0.0932492803030566</v>
      </c>
      <c r="N307">
        <v>0.42147412691033</v>
      </c>
    </row>
    <row r="308" spans="1:14">
      <c r="A308" t="s">
        <v>31</v>
      </c>
      <c r="B308">
        <v>2009</v>
      </c>
      <c r="C308">
        <v>0.87458068395348</v>
      </c>
      <c r="D308">
        <v>0.953244064816161</v>
      </c>
      <c r="E308">
        <v>0.386127332288848</v>
      </c>
      <c r="F308">
        <v>0.993023582800418</v>
      </c>
      <c r="G308">
        <v>0.959837828700759</v>
      </c>
      <c r="H308">
        <v>0.793688998962266</v>
      </c>
      <c r="I308">
        <v>0.532671081677704</v>
      </c>
      <c r="J308">
        <v>0.54611039218098</v>
      </c>
      <c r="K308">
        <v>0.976239395663036</v>
      </c>
      <c r="L308">
        <v>0.951949854184817</v>
      </c>
      <c r="M308">
        <v>0.0970150572633256</v>
      </c>
      <c r="N308">
        <v>0.387336653022511</v>
      </c>
    </row>
    <row r="309" spans="1:14">
      <c r="A309" t="s">
        <v>31</v>
      </c>
      <c r="B309">
        <v>2010</v>
      </c>
      <c r="C309">
        <v>0.856918610668085</v>
      </c>
      <c r="D309">
        <v>0.946415343756524</v>
      </c>
      <c r="E309">
        <v>0.378436120210796</v>
      </c>
      <c r="F309">
        <v>0.99255887150275</v>
      </c>
      <c r="G309">
        <v>0.962321641164162</v>
      </c>
      <c r="H309">
        <v>0.881218276132851</v>
      </c>
      <c r="I309">
        <v>0.47682119205298</v>
      </c>
      <c r="J309">
        <v>0.516054941685385</v>
      </c>
      <c r="K309">
        <v>0.968625522707356</v>
      </c>
      <c r="L309">
        <v>0.939979018563454</v>
      </c>
      <c r="M309">
        <v>0.096220781940702</v>
      </c>
      <c r="N309">
        <v>0.378295394509255</v>
      </c>
    </row>
    <row r="310" spans="1:14">
      <c r="A310" t="s">
        <v>31</v>
      </c>
      <c r="B310">
        <v>2011</v>
      </c>
      <c r="C310">
        <v>0.839325237342776</v>
      </c>
      <c r="D310">
        <v>0.937996860095735</v>
      </c>
      <c r="E310">
        <v>0.339125480700755</v>
      </c>
      <c r="F310">
        <v>0.991859206783618</v>
      </c>
      <c r="G310">
        <v>0.961483175080539</v>
      </c>
      <c r="H310">
        <v>0.886738140458924</v>
      </c>
      <c r="I310">
        <v>0.446578366445916</v>
      </c>
      <c r="J310">
        <v>0.467290275017833</v>
      </c>
      <c r="K310">
        <v>0.957755616892731</v>
      </c>
      <c r="L310">
        <v>0.927971239080164</v>
      </c>
      <c r="M310">
        <v>0.076771539183591</v>
      </c>
      <c r="N310">
        <v>0.350692998626899</v>
      </c>
    </row>
    <row r="311" spans="1:14">
      <c r="A311" t="s">
        <v>31</v>
      </c>
      <c r="B311">
        <v>2012</v>
      </c>
      <c r="C311">
        <v>0.835208177280039</v>
      </c>
      <c r="D311">
        <v>0.917455094024565</v>
      </c>
      <c r="E311">
        <v>0.314200256373736</v>
      </c>
      <c r="F311">
        <v>0.991428974194024</v>
      </c>
      <c r="G311">
        <v>0.949138213821408</v>
      </c>
      <c r="H311">
        <v>0.889103796598669</v>
      </c>
      <c r="I311">
        <v>0.417880794701987</v>
      </c>
      <c r="J311">
        <v>0.446086496689615</v>
      </c>
      <c r="K311">
        <v>0.958002664922977</v>
      </c>
      <c r="L311">
        <v>0.918307875012313</v>
      </c>
      <c r="M311">
        <v>0.0787614279357916</v>
      </c>
      <c r="N311">
        <v>0.337649832864128</v>
      </c>
    </row>
    <row r="312" spans="1:14">
      <c r="A312" t="s">
        <v>31</v>
      </c>
      <c r="B312">
        <v>2013</v>
      </c>
      <c r="C312">
        <v>0.826881681117031</v>
      </c>
      <c r="D312">
        <v>0.912441899602356</v>
      </c>
      <c r="E312">
        <v>0.256658595641646</v>
      </c>
      <c r="F312">
        <v>0.99141223081541</v>
      </c>
      <c r="G312">
        <v>0.957282087026356</v>
      </c>
      <c r="H312">
        <v>0.87254420362045</v>
      </c>
      <c r="I312">
        <v>0.413084032376748</v>
      </c>
      <c r="J312">
        <v>0.44871273417518</v>
      </c>
      <c r="K312">
        <v>0.950258990587273</v>
      </c>
      <c r="L312">
        <v>0.907977134816371</v>
      </c>
      <c r="M312">
        <v>0.081257381773567</v>
      </c>
      <c r="N312">
        <v>0.317556134824564</v>
      </c>
    </row>
    <row r="313" spans="1:14">
      <c r="A313" t="s">
        <v>31</v>
      </c>
      <c r="B313">
        <v>2014</v>
      </c>
      <c r="C313">
        <v>0.826929324347676</v>
      </c>
      <c r="D313">
        <v>0.916807967345144</v>
      </c>
      <c r="E313">
        <v>0.231306081754736</v>
      </c>
      <c r="F313">
        <v>0.991804230166589</v>
      </c>
      <c r="G313">
        <v>0.961095559033125</v>
      </c>
      <c r="H313">
        <v>0.893046556831578</v>
      </c>
      <c r="I313">
        <v>0.380286337993622</v>
      </c>
      <c r="J313">
        <v>0.424449862651331</v>
      </c>
      <c r="K313">
        <v>0.930709374052991</v>
      </c>
      <c r="L313">
        <v>0.897945665031317</v>
      </c>
      <c r="M313">
        <v>0.088741196754469</v>
      </c>
      <c r="N313">
        <v>0.306961376093619</v>
      </c>
    </row>
    <row r="314" spans="1:14">
      <c r="A314" t="s">
        <v>31</v>
      </c>
      <c r="B314">
        <v>2015</v>
      </c>
      <c r="C314">
        <v>0.830285537573446</v>
      </c>
      <c r="D314">
        <v>0.915139700249505</v>
      </c>
      <c r="E314">
        <v>0.199116934909557</v>
      </c>
      <c r="F314">
        <v>0.991859966489687</v>
      </c>
      <c r="G314">
        <v>0.951511245871613</v>
      </c>
      <c r="H314">
        <v>0.848887642222995</v>
      </c>
      <c r="I314">
        <v>0.403490507726269</v>
      </c>
      <c r="J314">
        <v>0.453965209146304</v>
      </c>
      <c r="K314">
        <v>0.934771641915864</v>
      </c>
      <c r="L314">
        <v>0.888592783360859</v>
      </c>
      <c r="M314">
        <v>0.12148551287498</v>
      </c>
      <c r="N314">
        <v>0.309966125843143</v>
      </c>
    </row>
    <row r="315" spans="1:14">
      <c r="A315" t="s">
        <v>31</v>
      </c>
      <c r="B315">
        <v>2016</v>
      </c>
      <c r="C315">
        <v>0.825249369332515</v>
      </c>
      <c r="D315">
        <v>0.899607933514229</v>
      </c>
      <c r="E315">
        <v>0.157669847600057</v>
      </c>
      <c r="F315">
        <v>0.991379883428784</v>
      </c>
      <c r="G315">
        <v>0.95297327134371</v>
      </c>
      <c r="H315">
        <v>0.83390515333794</v>
      </c>
      <c r="I315">
        <v>0.314690949227373</v>
      </c>
      <c r="J315">
        <v>0.375924119603633</v>
      </c>
      <c r="K315">
        <v>0.891610140984428</v>
      </c>
      <c r="L315">
        <v>0.877529560103629</v>
      </c>
      <c r="M315">
        <v>0.00818333616485878</v>
      </c>
      <c r="N315">
        <v>0.241405355626141</v>
      </c>
    </row>
    <row r="316" spans="1:14">
      <c r="A316" t="s">
        <v>31</v>
      </c>
      <c r="B316">
        <v>2017</v>
      </c>
      <c r="C316">
        <v>0.815861566113881</v>
      </c>
      <c r="D316">
        <v>0.888069050078807</v>
      </c>
      <c r="E316">
        <v>0.0860276313915398</v>
      </c>
      <c r="F316">
        <v>0.990511691240341</v>
      </c>
      <c r="G316">
        <v>0.935213931003947</v>
      </c>
      <c r="H316">
        <v>0.78264927031012</v>
      </c>
      <c r="I316">
        <v>0.288980573951435</v>
      </c>
      <c r="J316">
        <v>0.35057437897171</v>
      </c>
      <c r="K316">
        <v>0.879930299460396</v>
      </c>
      <c r="L316">
        <v>0.867010434224578</v>
      </c>
      <c r="M316">
        <v>0.00478398036724742</v>
      </c>
      <c r="N316">
        <v>0.208797943527931</v>
      </c>
    </row>
    <row r="317" spans="1:14">
      <c r="A317" t="s">
        <v>31</v>
      </c>
      <c r="B317">
        <v>2018</v>
      </c>
      <c r="C317">
        <v>0.80191031359827</v>
      </c>
      <c r="D317">
        <v>0.886331539934324</v>
      </c>
      <c r="E317">
        <v>0.0527387836490527</v>
      </c>
      <c r="F317">
        <v>0.989299316226245</v>
      </c>
      <c r="G317">
        <v>0.904105539088377</v>
      </c>
      <c r="H317">
        <v>0.747514545322619</v>
      </c>
      <c r="I317">
        <v>0.28487880794702</v>
      </c>
      <c r="J317">
        <v>0.288998928585554</v>
      </c>
      <c r="K317">
        <v>0.82727358374866</v>
      </c>
      <c r="L317">
        <v>0.86201174003333</v>
      </c>
      <c r="M317">
        <v>0.00466587938066641</v>
      </c>
      <c r="N317">
        <v>0.188482241537743</v>
      </c>
    </row>
    <row r="318" spans="1:14">
      <c r="A318" t="s">
        <v>31</v>
      </c>
      <c r="B318">
        <v>2019</v>
      </c>
      <c r="C318">
        <v>0.805768440898226</v>
      </c>
      <c r="D318">
        <v>0.884672807532337</v>
      </c>
      <c r="E318">
        <v>0.0419905996296824</v>
      </c>
      <c r="F318">
        <v>0.988887773436364</v>
      </c>
      <c r="G318">
        <v>0.880957570198314</v>
      </c>
      <c r="H318">
        <v>0.706828533787094</v>
      </c>
      <c r="I318">
        <v>0.272114348785872</v>
      </c>
      <c r="J318">
        <v>0.264928415521311</v>
      </c>
      <c r="K318">
        <v>0.791092408829316</v>
      </c>
      <c r="L318">
        <v>0.863234635848787</v>
      </c>
      <c r="M318">
        <v>0.00405433968880956</v>
      </c>
      <c r="N318">
        <v>0.17942726280876</v>
      </c>
    </row>
    <row r="319" spans="1:14">
      <c r="A319" t="s">
        <v>31</v>
      </c>
      <c r="B319">
        <v>2020</v>
      </c>
      <c r="C319">
        <v>0.80493981155484</v>
      </c>
      <c r="D319">
        <v>0.885921746964556</v>
      </c>
      <c r="E319">
        <v>0.0451502634952286</v>
      </c>
      <c r="F319">
        <v>0.989129353264412</v>
      </c>
      <c r="G319">
        <v>0.859813385682418</v>
      </c>
      <c r="H319">
        <v>0.673430983457274</v>
      </c>
      <c r="I319">
        <v>0.267108167770419</v>
      </c>
      <c r="J319">
        <v>0.260885374023987</v>
      </c>
      <c r="K319">
        <v>0.749942984925401</v>
      </c>
      <c r="L319">
        <v>0.876920593325127</v>
      </c>
      <c r="M319">
        <v>0.00498404243686133</v>
      </c>
      <c r="N319">
        <v>0.178188470165835</v>
      </c>
    </row>
    <row r="320" spans="1:14">
      <c r="A320" t="s">
        <v>31</v>
      </c>
      <c r="B320">
        <v>2021</v>
      </c>
      <c r="C320">
        <v>0.78904499308577</v>
      </c>
      <c r="D320">
        <v>0.873290808608778</v>
      </c>
      <c r="E320">
        <v>0.0333998005982054</v>
      </c>
      <c r="F320">
        <v>0.988791523102784</v>
      </c>
      <c r="G320">
        <v>0.801641899785801</v>
      </c>
      <c r="H320">
        <v>0.638282447274447</v>
      </c>
      <c r="I320">
        <v>0.245033112582781</v>
      </c>
      <c r="J320">
        <v>0.159091144099147</v>
      </c>
      <c r="K320">
        <v>0.646137262417302</v>
      </c>
      <c r="L320">
        <v>0.885818111310208</v>
      </c>
      <c r="M320">
        <v>0.00329068831034082</v>
      </c>
      <c r="N320">
        <v>0.158142809902766</v>
      </c>
    </row>
    <row r="321" spans="1:14">
      <c r="A321" t="s">
        <v>31</v>
      </c>
      <c r="B321">
        <v>2022</v>
      </c>
      <c r="C321">
        <v>0.773695975148569</v>
      </c>
      <c r="D321">
        <v>0.866296062943188</v>
      </c>
      <c r="E321">
        <v>0.025494943740208</v>
      </c>
      <c r="F321">
        <v>0.988504241342599</v>
      </c>
      <c r="G321">
        <v>0.808944692973993</v>
      </c>
      <c r="H321">
        <v>0.6012418587571</v>
      </c>
      <c r="I321">
        <v>0.244124061810155</v>
      </c>
      <c r="J321">
        <v>0.157157496314184</v>
      </c>
      <c r="K321">
        <v>0.617871273968899</v>
      </c>
      <c r="L321">
        <v>0.910782202263667</v>
      </c>
      <c r="M321">
        <v>0.00307559941211676</v>
      </c>
      <c r="N321">
        <v>0.154462346340737</v>
      </c>
    </row>
    <row r="322" spans="1:14">
      <c r="A322" t="s">
        <v>32</v>
      </c>
      <c r="B322">
        <v>2003</v>
      </c>
      <c r="C322">
        <v>0.936729522134272</v>
      </c>
      <c r="D322">
        <v>0.998232681041151</v>
      </c>
      <c r="E322">
        <v>0.514886340977069</v>
      </c>
      <c r="F322">
        <v>0.994881924923362</v>
      </c>
      <c r="G322">
        <v>0.504503208591442</v>
      </c>
      <c r="H322">
        <v>0.867865172341648</v>
      </c>
      <c r="I322">
        <v>0.394260485651214</v>
      </c>
      <c r="J322">
        <v>0.687173858630185</v>
      </c>
      <c r="K322">
        <v>0.988995312416669</v>
      </c>
      <c r="L322">
        <v>0.984629767623571</v>
      </c>
      <c r="M322">
        <v>0.0594558271633983</v>
      </c>
      <c r="N322">
        <v>0.40233540618233</v>
      </c>
    </row>
    <row r="323" spans="1:14">
      <c r="A323" t="s">
        <v>32</v>
      </c>
      <c r="B323">
        <v>2004</v>
      </c>
      <c r="C323">
        <v>0.929749490581491</v>
      </c>
      <c r="D323">
        <v>0.998236713183388</v>
      </c>
      <c r="E323">
        <v>0.507766557470446</v>
      </c>
      <c r="F323">
        <v>0.983880342446838</v>
      </c>
      <c r="G323">
        <v>0.381956069090279</v>
      </c>
      <c r="H323">
        <v>0.874034409278081</v>
      </c>
      <c r="I323">
        <v>0.369094922737307</v>
      </c>
      <c r="J323">
        <v>0.59511646808946</v>
      </c>
      <c r="K323">
        <v>0.979248380491735</v>
      </c>
      <c r="L323">
        <v>0.978068377579362</v>
      </c>
      <c r="M323">
        <v>0.0758004624317873</v>
      </c>
      <c r="N323">
        <v>0.390422644209699</v>
      </c>
    </row>
    <row r="324" spans="1:14">
      <c r="A324" t="s">
        <v>32</v>
      </c>
      <c r="B324">
        <v>2005</v>
      </c>
      <c r="C324">
        <v>0.921017291885581</v>
      </c>
      <c r="D324">
        <v>0.988562722622268</v>
      </c>
      <c r="E324">
        <v>0.447218772254665</v>
      </c>
      <c r="F324">
        <v>0.997431972374279</v>
      </c>
      <c r="G324">
        <v>0.36906039606058</v>
      </c>
      <c r="H324">
        <v>0.871755651573869</v>
      </c>
      <c r="I324">
        <v>0.369094922737307</v>
      </c>
      <c r="J324">
        <v>0.59511646808946</v>
      </c>
      <c r="K324">
        <v>0.967614918837303</v>
      </c>
      <c r="L324">
        <v>0.974147495800109</v>
      </c>
      <c r="M324">
        <v>0.0828450821744266</v>
      </c>
      <c r="N324">
        <v>0.370037885065237</v>
      </c>
    </row>
    <row r="325" spans="1:14">
      <c r="A325" t="s">
        <v>32</v>
      </c>
      <c r="B325">
        <v>2006</v>
      </c>
      <c r="C325">
        <v>0.911959818783301</v>
      </c>
      <c r="D325">
        <v>0.98753350269906</v>
      </c>
      <c r="E325">
        <v>0.232303090727816</v>
      </c>
      <c r="F325">
        <v>0.995376740057812</v>
      </c>
      <c r="G325">
        <v>0.428407971397027</v>
      </c>
      <c r="H325">
        <v>0.841002121757177</v>
      </c>
      <c r="I325">
        <v>0.359823399558499</v>
      </c>
      <c r="J325">
        <v>0.568159102852447</v>
      </c>
      <c r="K325">
        <v>0.961326555577714</v>
      </c>
      <c r="L325">
        <v>0.968225874799647</v>
      </c>
      <c r="M325">
        <v>0.0966401527736377</v>
      </c>
      <c r="N325">
        <v>0.298177743514722</v>
      </c>
    </row>
    <row r="326" spans="1:14">
      <c r="A326" t="s">
        <v>32</v>
      </c>
      <c r="B326">
        <v>2007</v>
      </c>
      <c r="C326">
        <v>0.900770031789203</v>
      </c>
      <c r="D326">
        <v>0.983814366935316</v>
      </c>
      <c r="E326">
        <v>0.146417889189574</v>
      </c>
      <c r="F326">
        <v>0.992219403665523</v>
      </c>
      <c r="G326">
        <v>0.394794453061721</v>
      </c>
      <c r="H326">
        <v>0.848887642222995</v>
      </c>
      <c r="I326">
        <v>0.30551876379691</v>
      </c>
      <c r="J326">
        <v>0.54800143123492</v>
      </c>
      <c r="K326">
        <v>0.947806564193786</v>
      </c>
      <c r="L326">
        <v>0.959865324051858</v>
      </c>
      <c r="M326">
        <v>0.0938317240981665</v>
      </c>
      <c r="N326">
        <v>0.259106334563916</v>
      </c>
    </row>
    <row r="327" spans="1:14">
      <c r="A327" t="s">
        <v>32</v>
      </c>
      <c r="B327">
        <v>2008</v>
      </c>
      <c r="C327">
        <v>0.8940419486955</v>
      </c>
      <c r="D327">
        <v>0.970803553950673</v>
      </c>
      <c r="E327">
        <v>0.129611166500498</v>
      </c>
      <c r="F327">
        <v>0.992608259543027</v>
      </c>
      <c r="G327">
        <v>0.315182724556097</v>
      </c>
      <c r="H327">
        <v>0.818134112406303</v>
      </c>
      <c r="I327">
        <v>0.330022075055188</v>
      </c>
      <c r="J327">
        <v>0.573510341026362</v>
      </c>
      <c r="K327">
        <v>0.93670756049979</v>
      </c>
      <c r="L327">
        <v>0.947013452679208</v>
      </c>
      <c r="M327">
        <v>0.0963355611522185</v>
      </c>
      <c r="N327">
        <v>0.252417060939095</v>
      </c>
    </row>
    <row r="328" spans="1:14">
      <c r="A328" t="s">
        <v>32</v>
      </c>
      <c r="B328">
        <v>2009</v>
      </c>
      <c r="C328">
        <v>0.88655346958042</v>
      </c>
      <c r="D328">
        <v>0.969130359916119</v>
      </c>
      <c r="E328">
        <v>0.125338270901581</v>
      </c>
      <c r="F328">
        <v>0.992497084868791</v>
      </c>
      <c r="G328">
        <v>0.349955958774147</v>
      </c>
      <c r="H328">
        <v>0.785014926449866</v>
      </c>
      <c r="I328">
        <v>0.299116997792495</v>
      </c>
      <c r="J328">
        <v>0.547478377879575</v>
      </c>
      <c r="K328">
        <v>0.920106264893178</v>
      </c>
      <c r="L328">
        <v>0.936955619798662</v>
      </c>
      <c r="M328">
        <v>0.104274225883728</v>
      </c>
      <c r="N328">
        <v>0.250259468774909</v>
      </c>
    </row>
    <row r="329" spans="1:14">
      <c r="A329" t="s">
        <v>32</v>
      </c>
      <c r="B329">
        <v>2010</v>
      </c>
      <c r="C329">
        <v>0.867219238826816</v>
      </c>
      <c r="D329">
        <v>0.96350079601929</v>
      </c>
      <c r="E329">
        <v>0.117504628970232</v>
      </c>
      <c r="F329">
        <v>0.991512114426252</v>
      </c>
      <c r="G329">
        <v>0.38183876013194</v>
      </c>
      <c r="H329">
        <v>0.806305831707575</v>
      </c>
      <c r="I329">
        <v>0.296247240618102</v>
      </c>
      <c r="J329">
        <v>0.540115396031256</v>
      </c>
      <c r="K329">
        <v>0.895927515423122</v>
      </c>
      <c r="L329">
        <v>0.919584063001991</v>
      </c>
      <c r="M329">
        <v>0.105026251761502</v>
      </c>
      <c r="N329">
        <v>0.247340112432805</v>
      </c>
    </row>
    <row r="330" spans="1:14">
      <c r="A330" t="s">
        <v>32</v>
      </c>
      <c r="B330">
        <v>2011</v>
      </c>
      <c r="C330">
        <v>0.856015328993055</v>
      </c>
      <c r="D330">
        <v>0.953924316338178</v>
      </c>
      <c r="E330">
        <v>0.0870246403646204</v>
      </c>
      <c r="F330">
        <v>0.990293386378928</v>
      </c>
      <c r="G330">
        <v>0.443491982285685</v>
      </c>
      <c r="H330">
        <v>0.87254420362045</v>
      </c>
      <c r="I330">
        <v>0.285430463576159</v>
      </c>
      <c r="J330">
        <v>0.4545760549956</v>
      </c>
      <c r="K330">
        <v>0.857882845071936</v>
      </c>
      <c r="L330">
        <v>0.904994446749304</v>
      </c>
      <c r="M330">
        <v>0.0630709372155899</v>
      </c>
      <c r="N330">
        <v>0.216515719995747</v>
      </c>
    </row>
    <row r="331" spans="1:14">
      <c r="A331" t="s">
        <v>32</v>
      </c>
      <c r="B331">
        <v>2012</v>
      </c>
      <c r="C331">
        <v>0.850892957619789</v>
      </c>
      <c r="D331">
        <v>0.945979046806622</v>
      </c>
      <c r="E331">
        <v>0.0699330579689502</v>
      </c>
      <c r="F331">
        <v>0.990086933605561</v>
      </c>
      <c r="G331">
        <v>0.383999132309439</v>
      </c>
      <c r="H331">
        <v>0.864658683154632</v>
      </c>
      <c r="I331">
        <v>0.263576158940397</v>
      </c>
      <c r="J331">
        <v>0.420456882277709</v>
      </c>
      <c r="K331">
        <v>0.835873573663373</v>
      </c>
      <c r="L331">
        <v>0.889974579930308</v>
      </c>
      <c r="M331">
        <v>0.0655937245255069</v>
      </c>
      <c r="N331">
        <v>0.203137572653471</v>
      </c>
    </row>
    <row r="332" spans="1:14">
      <c r="A332" t="s">
        <v>32</v>
      </c>
      <c r="B332">
        <v>2013</v>
      </c>
      <c r="C332">
        <v>0.839286535586984</v>
      </c>
      <c r="D332">
        <v>0.941174429875226</v>
      </c>
      <c r="E332">
        <v>0.0699330579689502</v>
      </c>
      <c r="F332">
        <v>0.98996568625572</v>
      </c>
      <c r="G332">
        <v>0.471235857462021</v>
      </c>
      <c r="H332">
        <v>0.824442528778958</v>
      </c>
      <c r="I332">
        <v>0.301440103016925</v>
      </c>
      <c r="J332">
        <v>0.441392521997379</v>
      </c>
      <c r="K332">
        <v>0.839075617725563</v>
      </c>
      <c r="L332">
        <v>0.879083627931403</v>
      </c>
      <c r="M332">
        <v>0.0667981464965524</v>
      </c>
      <c r="N332">
        <v>0.211167040361137</v>
      </c>
    </row>
    <row r="333" spans="1:14">
      <c r="A333" t="s">
        <v>32</v>
      </c>
      <c r="B333">
        <v>2014</v>
      </c>
      <c r="C333">
        <v>0.837130043558001</v>
      </c>
      <c r="D333">
        <v>0.926746151101362</v>
      </c>
      <c r="E333">
        <v>0.0753453923942459</v>
      </c>
      <c r="F333">
        <v>0.989754141238087</v>
      </c>
      <c r="G333">
        <v>0.415894521190884</v>
      </c>
      <c r="H333">
        <v>0.814191352173394</v>
      </c>
      <c r="I333">
        <v>0.305464851606574</v>
      </c>
      <c r="J333">
        <v>0.440346339287483</v>
      </c>
      <c r="K333">
        <v>0.84132845965409</v>
      </c>
      <c r="L333">
        <v>0.871265129366687</v>
      </c>
      <c r="M333">
        <v>0.0685717470745034</v>
      </c>
      <c r="N333">
        <v>0.210578834593055</v>
      </c>
    </row>
    <row r="334" spans="1:14">
      <c r="A334" t="s">
        <v>32</v>
      </c>
      <c r="B334">
        <v>2015</v>
      </c>
      <c r="C334">
        <v>0.837294871794872</v>
      </c>
      <c r="D334">
        <v>0.927263254833832</v>
      </c>
      <c r="E334">
        <v>0.0784788491667854</v>
      </c>
      <c r="F334">
        <v>0.989978173508719</v>
      </c>
      <c r="G334">
        <v>0.436806201304548</v>
      </c>
      <c r="H334">
        <v>0.774763749844302</v>
      </c>
      <c r="I334">
        <v>0.377167991169978</v>
      </c>
      <c r="J334">
        <v>0.483263801436715</v>
      </c>
      <c r="K334">
        <v>0.845479705849944</v>
      </c>
      <c r="L334">
        <v>0.86677415979962</v>
      </c>
      <c r="M334">
        <v>0.0709005607329539</v>
      </c>
      <c r="N334">
        <v>0.221309737103178</v>
      </c>
    </row>
    <row r="335" spans="1:14">
      <c r="A335" t="s">
        <v>32</v>
      </c>
      <c r="B335">
        <v>2016</v>
      </c>
      <c r="C335">
        <v>0.82874284905126</v>
      </c>
      <c r="D335">
        <v>0.925480041979854</v>
      </c>
      <c r="E335">
        <v>0.0526990457199829</v>
      </c>
      <c r="F335">
        <v>0.989622537609209</v>
      </c>
      <c r="G335">
        <v>0.419821714877547</v>
      </c>
      <c r="H335">
        <v>0.811825696033648</v>
      </c>
      <c r="I335">
        <v>0.313514348785872</v>
      </c>
      <c r="J335">
        <v>0.438253973867691</v>
      </c>
      <c r="K335">
        <v>0.845834143511145</v>
      </c>
      <c r="L335">
        <v>0.859565529341439</v>
      </c>
      <c r="M335">
        <v>0.0547721626190946</v>
      </c>
      <c r="N335">
        <v>0.197891772378006</v>
      </c>
    </row>
    <row r="336" spans="1:14">
      <c r="A336" t="s">
        <v>32</v>
      </c>
      <c r="B336">
        <v>2017</v>
      </c>
      <c r="C336">
        <v>0.819030318428184</v>
      </c>
      <c r="D336">
        <v>0.910711758270343</v>
      </c>
      <c r="E336">
        <v>0.0408773678963111</v>
      </c>
      <c r="F336">
        <v>0.989522672934162</v>
      </c>
      <c r="G336">
        <v>0.405877538918614</v>
      </c>
      <c r="H336">
        <v>0.799997415334921</v>
      </c>
      <c r="I336">
        <v>0.265083664459161</v>
      </c>
      <c r="J336">
        <v>0.429056563432431</v>
      </c>
      <c r="K336">
        <v>0.820015289793254</v>
      </c>
      <c r="L336">
        <v>0.853585430515866</v>
      </c>
      <c r="M336">
        <v>0.0562688975336251</v>
      </c>
      <c r="N336">
        <v>0.188159574930563</v>
      </c>
    </row>
    <row r="337" spans="1:14">
      <c r="A337" t="s">
        <v>32</v>
      </c>
      <c r="B337">
        <v>2018</v>
      </c>
      <c r="C337">
        <v>0.799911835952904</v>
      </c>
      <c r="D337">
        <v>0.887316234043965</v>
      </c>
      <c r="E337">
        <v>0.0336758296538954</v>
      </c>
      <c r="F337">
        <v>0.98918797977683</v>
      </c>
      <c r="G337">
        <v>0.444034828316504</v>
      </c>
      <c r="H337">
        <v>0.801022532995477</v>
      </c>
      <c r="I337">
        <v>0.164584988962472</v>
      </c>
      <c r="J337">
        <v>0.331492789045621</v>
      </c>
      <c r="K337">
        <v>0.684729256733019</v>
      </c>
      <c r="L337">
        <v>0.85020065156095</v>
      </c>
      <c r="M337">
        <v>0.0205767510004612</v>
      </c>
      <c r="N337">
        <v>0.156456523528853</v>
      </c>
    </row>
    <row r="338" spans="1:14">
      <c r="A338" t="s">
        <v>32</v>
      </c>
      <c r="B338">
        <v>2019</v>
      </c>
      <c r="C338">
        <v>0.786456892188291</v>
      </c>
      <c r="D338">
        <v>0.877389499364815</v>
      </c>
      <c r="E338">
        <v>0.0296454920951432</v>
      </c>
      <c r="F338">
        <v>0.987993483655108</v>
      </c>
      <c r="G338">
        <v>0.499161566843419</v>
      </c>
      <c r="H338">
        <v>0.779806697892602</v>
      </c>
      <c r="I338">
        <v>0.132058278145695</v>
      </c>
      <c r="J338">
        <v>0.322502145625216</v>
      </c>
      <c r="K338">
        <v>0.665432948300868</v>
      </c>
      <c r="L338">
        <v>0.860198843577658</v>
      </c>
      <c r="M338">
        <v>0.017696564554593</v>
      </c>
      <c r="N338">
        <v>0.15290227867989</v>
      </c>
    </row>
    <row r="339" spans="1:14">
      <c r="A339" t="s">
        <v>32</v>
      </c>
      <c r="B339">
        <v>2020</v>
      </c>
      <c r="C339">
        <v>0.786657383231796</v>
      </c>
      <c r="D339">
        <v>0.886510063303096</v>
      </c>
      <c r="E339">
        <v>0.0227887765275601</v>
      </c>
      <c r="F339">
        <v>0.988535348575688</v>
      </c>
      <c r="G339">
        <v>0.408891406695672</v>
      </c>
      <c r="H339">
        <v>0.78093276914037</v>
      </c>
      <c r="I339">
        <v>0.163355408388521</v>
      </c>
      <c r="J339">
        <v>0.316409499437536</v>
      </c>
      <c r="K339">
        <v>0.643072144457834</v>
      </c>
      <c r="L339">
        <v>0.849622258772987</v>
      </c>
      <c r="M339">
        <v>0.0376590837105055</v>
      </c>
      <c r="N339">
        <v>0.154218871446355</v>
      </c>
    </row>
    <row r="340" spans="1:14">
      <c r="A340" t="s">
        <v>32</v>
      </c>
      <c r="B340">
        <v>2021</v>
      </c>
      <c r="C340">
        <v>0.757605488850772</v>
      </c>
      <c r="D340">
        <v>0.870491078250128</v>
      </c>
      <c r="E340">
        <v>0.0162583677538811</v>
      </c>
      <c r="F340">
        <v>0.988441672107459</v>
      </c>
      <c r="G340">
        <v>0.447823921508292</v>
      </c>
      <c r="H340">
        <v>0.772193330186442</v>
      </c>
      <c r="I340">
        <v>0.0728476821192052</v>
      </c>
      <c r="J340">
        <v>0.251631353121729</v>
      </c>
      <c r="K340">
        <v>0.539726381596136</v>
      </c>
      <c r="L340">
        <v>0.852286815655948</v>
      </c>
      <c r="M340">
        <v>0.035647741813876</v>
      </c>
      <c r="N340">
        <v>0.138658014978728</v>
      </c>
    </row>
    <row r="341" spans="1:14">
      <c r="A341" t="s">
        <v>32</v>
      </c>
      <c r="B341">
        <v>2022</v>
      </c>
      <c r="C341">
        <v>0.740969655487109</v>
      </c>
      <c r="D341">
        <v>0.876379700635597</v>
      </c>
      <c r="E341">
        <v>0.00705170203674681</v>
      </c>
      <c r="F341">
        <v>0.988117357102804</v>
      </c>
      <c r="G341">
        <v>0.447994693910967</v>
      </c>
      <c r="H341">
        <v>0.68744407750389</v>
      </c>
      <c r="I341">
        <v>0.0528415011037528</v>
      </c>
      <c r="J341">
        <v>0.241187868654543</v>
      </c>
      <c r="K341">
        <v>0.51434279309743</v>
      </c>
      <c r="L341">
        <v>0.851247110232949</v>
      </c>
      <c r="M341">
        <v>0.0341114835412823</v>
      </c>
      <c r="N341">
        <v>0.131093302565262</v>
      </c>
    </row>
    <row r="342" spans="1:14">
      <c r="A342" t="s">
        <v>33</v>
      </c>
      <c r="B342">
        <v>2003</v>
      </c>
      <c r="C342">
        <v>0.953169320626344</v>
      </c>
      <c r="D342">
        <v>1</v>
      </c>
      <c r="E342">
        <v>0.475983905426577</v>
      </c>
      <c r="F342">
        <v>1</v>
      </c>
      <c r="G342">
        <v>0.54699592132964</v>
      </c>
      <c r="H342">
        <v>0.946334380773031</v>
      </c>
      <c r="I342">
        <v>0.557174392935982</v>
      </c>
      <c r="J342">
        <v>0.777179270623018</v>
      </c>
      <c r="K342">
        <v>0.992148002210463</v>
      </c>
      <c r="L342">
        <v>0.993154794338727</v>
      </c>
      <c r="M342">
        <v>0.13656593973408</v>
      </c>
      <c r="N342">
        <v>0.437191081320683</v>
      </c>
    </row>
    <row r="343" spans="1:14">
      <c r="A343" t="s">
        <v>33</v>
      </c>
      <c r="B343">
        <v>2004</v>
      </c>
      <c r="C343">
        <v>0.947357027769483</v>
      </c>
      <c r="D343">
        <v>0.999904253334297</v>
      </c>
      <c r="E343">
        <v>0.445711721976926</v>
      </c>
      <c r="F343">
        <v>1</v>
      </c>
      <c r="G343">
        <v>0.605145160946451</v>
      </c>
      <c r="H343">
        <v>0.942748834617223</v>
      </c>
      <c r="I343">
        <v>0.485651214128035</v>
      </c>
      <c r="J343">
        <v>0.684196477992067</v>
      </c>
      <c r="K343">
        <v>0.989904648383521</v>
      </c>
      <c r="L343">
        <v>0.990132197203922</v>
      </c>
      <c r="M343">
        <v>0.123593532939379</v>
      </c>
      <c r="N343">
        <v>0.412588224082894</v>
      </c>
    </row>
    <row r="344" spans="1:14">
      <c r="A344" t="s">
        <v>33</v>
      </c>
      <c r="B344">
        <v>2005</v>
      </c>
      <c r="C344">
        <v>0.939053600932659</v>
      </c>
      <c r="D344">
        <v>0.998310382635484</v>
      </c>
      <c r="E344">
        <v>0.349950149551346</v>
      </c>
      <c r="F344">
        <v>0.996442987625315</v>
      </c>
      <c r="G344">
        <v>0.623186290860574</v>
      </c>
      <c r="H344">
        <v>0.925377190741434</v>
      </c>
      <c r="I344">
        <v>0.485651214128035</v>
      </c>
      <c r="J344">
        <v>0.684196477992067</v>
      </c>
      <c r="K344">
        <v>0.984296108179023</v>
      </c>
      <c r="L344">
        <v>0.985395386863121</v>
      </c>
      <c r="M344">
        <v>0.133299854210058</v>
      </c>
      <c r="N344">
        <v>0.382345115148177</v>
      </c>
    </row>
    <row r="345" spans="1:14">
      <c r="A345" t="s">
        <v>33</v>
      </c>
      <c r="B345">
        <v>2006</v>
      </c>
      <c r="C345">
        <v>0.930702957873436</v>
      </c>
      <c r="D345">
        <v>0.992837242564853</v>
      </c>
      <c r="E345">
        <v>0.342543797179889</v>
      </c>
      <c r="F345">
        <v>0.993696489311905</v>
      </c>
      <c r="G345">
        <v>0.630769889373665</v>
      </c>
      <c r="H345">
        <v>0.904874837530306</v>
      </c>
      <c r="I345">
        <v>0.473509933774835</v>
      </c>
      <c r="J345">
        <v>0.654141027496472</v>
      </c>
      <c r="K345">
        <v>0.983174379386503</v>
      </c>
      <c r="L345">
        <v>0.981938371534387</v>
      </c>
      <c r="M345">
        <v>0.136206570462417</v>
      </c>
      <c r="N345">
        <v>0.377442861683974</v>
      </c>
    </row>
    <row r="346" spans="1:14">
      <c r="A346" t="s">
        <v>33</v>
      </c>
      <c r="B346">
        <v>2007</v>
      </c>
      <c r="C346">
        <v>0.919887200052452</v>
      </c>
      <c r="D346">
        <v>0.990177662694585</v>
      </c>
      <c r="E346">
        <v>0.238285144566301</v>
      </c>
      <c r="F346">
        <v>0.989983253103911</v>
      </c>
      <c r="G346">
        <v>0.647315653685492</v>
      </c>
      <c r="H346">
        <v>0.87254420362045</v>
      </c>
      <c r="I346">
        <v>0.425827814569536</v>
      </c>
      <c r="J346">
        <v>0.594150831125746</v>
      </c>
      <c r="K346">
        <v>0.983735191903714</v>
      </c>
      <c r="L346">
        <v>0.978542747197591</v>
      </c>
      <c r="M346">
        <v>0.133500657083836</v>
      </c>
      <c r="N346">
        <v>0.331902692459155</v>
      </c>
    </row>
    <row r="347" spans="1:14">
      <c r="A347" t="s">
        <v>33</v>
      </c>
      <c r="B347">
        <v>2008</v>
      </c>
      <c r="C347">
        <v>0.918913464916406</v>
      </c>
      <c r="D347">
        <v>0.986212144975476</v>
      </c>
      <c r="E347">
        <v>0.224184589089873</v>
      </c>
      <c r="F347">
        <v>0.987304609698573</v>
      </c>
      <c r="G347">
        <v>0.631519051916964</v>
      </c>
      <c r="H347">
        <v>0.840213569710595</v>
      </c>
      <c r="I347">
        <v>0.447019867549669</v>
      </c>
      <c r="J347">
        <v>0.609922901533073</v>
      </c>
      <c r="K347">
        <v>0.976758186150743</v>
      </c>
      <c r="L347">
        <v>0.973343398277469</v>
      </c>
      <c r="M347">
        <v>0.132977535386799</v>
      </c>
      <c r="N347">
        <v>0.327863126097836</v>
      </c>
    </row>
    <row r="348" spans="1:14">
      <c r="A348" t="s">
        <v>33</v>
      </c>
      <c r="B348">
        <v>2009</v>
      </c>
      <c r="C348">
        <v>0.909817468362993</v>
      </c>
      <c r="D348">
        <v>0.982931071815123</v>
      </c>
      <c r="E348">
        <v>0.205098988748042</v>
      </c>
      <c r="F348">
        <v>0.98874981289814</v>
      </c>
      <c r="G348">
        <v>0.665743548920569</v>
      </c>
      <c r="H348">
        <v>0.865447235201214</v>
      </c>
      <c r="I348">
        <v>0.421192052980133</v>
      </c>
      <c r="J348">
        <v>0.586345265669059</v>
      </c>
      <c r="K348">
        <v>0.977276976638449</v>
      </c>
      <c r="L348">
        <v>0.970222385276327</v>
      </c>
      <c r="M348">
        <v>0.130029859766299</v>
      </c>
      <c r="N348">
        <v>0.31814765066791</v>
      </c>
    </row>
    <row r="349" spans="1:14">
      <c r="A349" t="s">
        <v>33</v>
      </c>
      <c r="B349">
        <v>2010</v>
      </c>
      <c r="C349">
        <v>0.898030154743785</v>
      </c>
      <c r="D349">
        <v>0.981697740671353</v>
      </c>
      <c r="E349">
        <v>0.192280301951289</v>
      </c>
      <c r="F349">
        <v>0.989690156577246</v>
      </c>
      <c r="G349">
        <v>0.658863484747407</v>
      </c>
      <c r="H349">
        <v>0.863081579061468</v>
      </c>
      <c r="I349">
        <v>0.363134657836645</v>
      </c>
      <c r="J349">
        <v>0.563974676009687</v>
      </c>
      <c r="K349">
        <v>0.971396382702197</v>
      </c>
      <c r="L349">
        <v>0.965993226511792</v>
      </c>
      <c r="M349">
        <v>0.136175473071901</v>
      </c>
      <c r="N349">
        <v>0.309294771465564</v>
      </c>
    </row>
    <row r="350" spans="1:14">
      <c r="A350" t="s">
        <v>33</v>
      </c>
      <c r="B350">
        <v>2011</v>
      </c>
      <c r="C350">
        <v>0.887644020057742</v>
      </c>
      <c r="D350">
        <v>0.976206228550042</v>
      </c>
      <c r="E350">
        <v>0.164506480558325</v>
      </c>
      <c r="F350">
        <v>0.987804254577682</v>
      </c>
      <c r="G350">
        <v>0.746508746694917</v>
      </c>
      <c r="H350">
        <v>0.843367777896922</v>
      </c>
      <c r="I350">
        <v>0.383885209713024</v>
      </c>
      <c r="J350">
        <v>0.481090836624244</v>
      </c>
      <c r="K350">
        <v>0.940829869715107</v>
      </c>
      <c r="L350">
        <v>0.959801158048082</v>
      </c>
      <c r="M350">
        <v>0.0385373113928252</v>
      </c>
      <c r="N350">
        <v>0.262986428538751</v>
      </c>
    </row>
    <row r="351" spans="1:14">
      <c r="A351" t="s">
        <v>33</v>
      </c>
      <c r="B351">
        <v>2012</v>
      </c>
      <c r="C351">
        <v>0.883305067425392</v>
      </c>
      <c r="D351">
        <v>0.970918793065041</v>
      </c>
      <c r="E351">
        <v>0.123486682808717</v>
      </c>
      <c r="F351">
        <v>0.988840495096993</v>
      </c>
      <c r="G351">
        <v>0.629901537873134</v>
      </c>
      <c r="H351">
        <v>0.857561714735395</v>
      </c>
      <c r="I351">
        <v>0.351876379690949</v>
      </c>
      <c r="J351">
        <v>0.457271791519301</v>
      </c>
      <c r="K351">
        <v>0.929332331168455</v>
      </c>
      <c r="L351">
        <v>0.952916093439341</v>
      </c>
      <c r="M351">
        <v>0.0402722163238645</v>
      </c>
      <c r="N351">
        <v>0.238812252423518</v>
      </c>
    </row>
    <row r="352" spans="1:14">
      <c r="A352" t="s">
        <v>33</v>
      </c>
      <c r="B352">
        <v>2013</v>
      </c>
      <c r="C352">
        <v>0.876745202020202</v>
      </c>
      <c r="D352">
        <v>0.968096388920573</v>
      </c>
      <c r="E352">
        <v>0.114940891610882</v>
      </c>
      <c r="F352">
        <v>0.987855152222347</v>
      </c>
      <c r="G352">
        <v>0.659397344708679</v>
      </c>
      <c r="H352">
        <v>0.848099090176413</v>
      </c>
      <c r="I352">
        <v>0.333525901398086</v>
      </c>
      <c r="J352">
        <v>0.449726250638344</v>
      </c>
      <c r="K352">
        <v>0.902340353813729</v>
      </c>
      <c r="L352">
        <v>0.946123458376156</v>
      </c>
      <c r="M352">
        <v>0.0409972696653845</v>
      </c>
      <c r="N352">
        <v>0.234610385735478</v>
      </c>
    </row>
    <row r="353" spans="1:14">
      <c r="A353" t="s">
        <v>33</v>
      </c>
      <c r="B353">
        <v>2014</v>
      </c>
      <c r="C353">
        <v>0.876258508546362</v>
      </c>
      <c r="D353">
        <v>0.961989548900192</v>
      </c>
      <c r="E353">
        <v>0.124768551488392</v>
      </c>
      <c r="F353">
        <v>0.988902144927984</v>
      </c>
      <c r="G353">
        <v>0.606398979176707</v>
      </c>
      <c r="H353">
        <v>0.818134112406303</v>
      </c>
      <c r="I353">
        <v>0.30255516311013</v>
      </c>
      <c r="J353">
        <v>0.425311827757689</v>
      </c>
      <c r="K353">
        <v>0.87023774830725</v>
      </c>
      <c r="L353">
        <v>0.938885332376173</v>
      </c>
      <c r="M353">
        <v>0.0498974516612643</v>
      </c>
      <c r="N353">
        <v>0.233317689764682</v>
      </c>
    </row>
    <row r="354" spans="1:14">
      <c r="A354" t="s">
        <v>33</v>
      </c>
      <c r="B354">
        <v>2015</v>
      </c>
      <c r="C354">
        <v>0.874864197530864</v>
      </c>
      <c r="D354">
        <v>0.958538562504327</v>
      </c>
      <c r="E354">
        <v>0.109955846745478</v>
      </c>
      <c r="F354">
        <v>0.990159157053104</v>
      </c>
      <c r="G354">
        <v>0.566350964489761</v>
      </c>
      <c r="H354">
        <v>0.813402800126812</v>
      </c>
      <c r="I354">
        <v>0.296824944812362</v>
      </c>
      <c r="J354">
        <v>0.434635168876426</v>
      </c>
      <c r="K354">
        <v>0.848356399104277</v>
      </c>
      <c r="L354">
        <v>0.932324844535169</v>
      </c>
      <c r="M354">
        <v>0.061801070017128</v>
      </c>
      <c r="N354">
        <v>0.229797255976569</v>
      </c>
    </row>
    <row r="355" spans="1:14">
      <c r="A355" t="s">
        <v>33</v>
      </c>
      <c r="B355">
        <v>2016</v>
      </c>
      <c r="C355">
        <v>0.870911194968554</v>
      </c>
      <c r="D355">
        <v>0.955713228853484</v>
      </c>
      <c r="E355">
        <v>0.0957128614157527</v>
      </c>
      <c r="F355">
        <v>0.990118020493769</v>
      </c>
      <c r="G355">
        <v>0.548424586906013</v>
      </c>
      <c r="H355">
        <v>0.835482257431104</v>
      </c>
      <c r="I355">
        <v>0.240613686534216</v>
      </c>
      <c r="J355">
        <v>0.376482981996383</v>
      </c>
      <c r="K355">
        <v>0.806032537294292</v>
      </c>
      <c r="L355">
        <v>0.926238168914226</v>
      </c>
      <c r="M355">
        <v>0.0719719784415995</v>
      </c>
      <c r="N355">
        <v>0.218180484199829</v>
      </c>
    </row>
    <row r="356" spans="1:14">
      <c r="A356" t="s">
        <v>33</v>
      </c>
      <c r="B356">
        <v>2017</v>
      </c>
      <c r="C356">
        <v>0.863654957535555</v>
      </c>
      <c r="D356">
        <v>0.957716455553494</v>
      </c>
      <c r="E356">
        <v>0.0925794046432132</v>
      </c>
      <c r="F356">
        <v>0.991012631910864</v>
      </c>
      <c r="G356">
        <v>0.586291358418049</v>
      </c>
      <c r="H356">
        <v>0.823653976732376</v>
      </c>
      <c r="I356">
        <v>0.216829580573951</v>
      </c>
      <c r="J356">
        <v>0.357196837973481</v>
      </c>
      <c r="K356">
        <v>0.782705330530758</v>
      </c>
      <c r="L356">
        <v>0.919616352480427</v>
      </c>
      <c r="M356">
        <v>0.0783602888830979</v>
      </c>
      <c r="N356">
        <v>0.217234928327716</v>
      </c>
    </row>
    <row r="357" spans="1:14">
      <c r="A357" t="s">
        <v>33</v>
      </c>
      <c r="B357">
        <v>2018</v>
      </c>
      <c r="C357">
        <v>0.849652097462949</v>
      </c>
      <c r="D357">
        <v>0.952284258319867</v>
      </c>
      <c r="E357">
        <v>0.0906088876228457</v>
      </c>
      <c r="F357">
        <v>0.990899040713097</v>
      </c>
      <c r="G357">
        <v>0.641520790396577</v>
      </c>
      <c r="H357">
        <v>0.797537132949585</v>
      </c>
      <c r="I357">
        <v>0.181548785871965</v>
      </c>
      <c r="J357">
        <v>0.275926457249783</v>
      </c>
      <c r="K357">
        <v>0.706327438559124</v>
      </c>
      <c r="L357">
        <v>0.9139357926635</v>
      </c>
      <c r="M357">
        <v>0.0860761014524031</v>
      </c>
      <c r="N357">
        <v>0.210889834837802</v>
      </c>
    </row>
    <row r="358" spans="1:14">
      <c r="A358" t="s">
        <v>33</v>
      </c>
      <c r="B358">
        <v>2019</v>
      </c>
      <c r="C358">
        <v>0.839520080321285</v>
      </c>
      <c r="D358">
        <v>0.948585645908603</v>
      </c>
      <c r="E358">
        <v>0.04777581541091</v>
      </c>
      <c r="F358">
        <v>0.990377309543207</v>
      </c>
      <c r="G358">
        <v>0.583861839550029</v>
      </c>
      <c r="H358">
        <v>0.744628760252948</v>
      </c>
      <c r="I358">
        <v>0.162132891832229</v>
      </c>
      <c r="J358">
        <v>0.255731689078899</v>
      </c>
      <c r="K358">
        <v>0.667233773841795</v>
      </c>
      <c r="L358">
        <v>0.913055689456021</v>
      </c>
      <c r="M358">
        <v>0.0816763776712366</v>
      </c>
      <c r="N358">
        <v>0.186700297125352</v>
      </c>
    </row>
    <row r="359" spans="1:14">
      <c r="A359" t="s">
        <v>33</v>
      </c>
      <c r="B359">
        <v>2020</v>
      </c>
      <c r="C359">
        <v>0.834048908954101</v>
      </c>
      <c r="D359">
        <v>0.945101705228316</v>
      </c>
      <c r="E359">
        <v>0.038598490243555</v>
      </c>
      <c r="F359">
        <v>0.99113101515538</v>
      </c>
      <c r="G359">
        <v>0.546733905077612</v>
      </c>
      <c r="H359">
        <v>0.5149628511485</v>
      </c>
      <c r="I359">
        <v>0.136865342163355</v>
      </c>
      <c r="J359">
        <v>0.264506512637915</v>
      </c>
      <c r="K359">
        <v>0.664861344941513</v>
      </c>
      <c r="L359">
        <v>0.918862199083278</v>
      </c>
      <c r="M359">
        <v>0.0293798238659524</v>
      </c>
      <c r="N359">
        <v>0.159699840929558</v>
      </c>
    </row>
    <row r="360" spans="1:14">
      <c r="A360" t="s">
        <v>33</v>
      </c>
      <c r="B360">
        <v>2021</v>
      </c>
      <c r="C360">
        <v>0.81396229739253</v>
      </c>
      <c r="D360">
        <v>0.933563959456843</v>
      </c>
      <c r="E360">
        <v>0.0363110667996013</v>
      </c>
      <c r="F360">
        <v>0.991548232329194</v>
      </c>
      <c r="G360">
        <v>0.585200882921376</v>
      </c>
      <c r="H360">
        <v>0.516923083533691</v>
      </c>
      <c r="I360">
        <v>0.0706401766004416</v>
      </c>
      <c r="J360">
        <v>0.231111567642809</v>
      </c>
      <c r="K360">
        <v>0.563297731163184</v>
      </c>
      <c r="L360">
        <v>0.91945651018273</v>
      </c>
      <c r="M360">
        <v>0.0265724271145082</v>
      </c>
      <c r="N360">
        <v>0.149735458393633</v>
      </c>
    </row>
    <row r="361" spans="1:14">
      <c r="A361" t="s">
        <v>33</v>
      </c>
      <c r="B361">
        <v>2022</v>
      </c>
      <c r="C361">
        <v>0.806443569553806</v>
      </c>
      <c r="D361">
        <v>0.925986372750783</v>
      </c>
      <c r="E361">
        <v>0.0327104401082467</v>
      </c>
      <c r="F361">
        <v>0.991462247852794</v>
      </c>
      <c r="G361">
        <v>0.583361735990852</v>
      </c>
      <c r="H361">
        <v>0.530589823723241</v>
      </c>
      <c r="I361">
        <v>0.0784995584988961</v>
      </c>
      <c r="J361">
        <v>0.215767797463763</v>
      </c>
      <c r="K361">
        <v>0.552451274678604</v>
      </c>
      <c r="L361">
        <v>0.928066572740608</v>
      </c>
      <c r="M361">
        <v>0.0241728351894741</v>
      </c>
      <c r="N361">
        <v>0.14663056738375</v>
      </c>
    </row>
    <row r="362" spans="1:14">
      <c r="A362" t="s">
        <v>34</v>
      </c>
      <c r="B362">
        <v>2003</v>
      </c>
      <c r="C362">
        <v>0.870442844657667</v>
      </c>
      <c r="D362">
        <v>0.998497430045254</v>
      </c>
      <c r="E362">
        <v>0.132783791482695</v>
      </c>
      <c r="F362">
        <v>0.995303170470849</v>
      </c>
      <c r="G362">
        <v>0.755999736824995</v>
      </c>
      <c r="H362">
        <v>0.862754487672546</v>
      </c>
      <c r="I362">
        <v>0.435761589403973</v>
      </c>
      <c r="J362">
        <v>0.428705031342765</v>
      </c>
      <c r="K362">
        <v>0.881245640862927</v>
      </c>
      <c r="L362">
        <v>0.999918710297685</v>
      </c>
      <c r="M362">
        <v>0.0119896886009802</v>
      </c>
      <c r="N362">
        <v>0.24221345703946</v>
      </c>
    </row>
    <row r="363" spans="1:14">
      <c r="A363" t="s">
        <v>34</v>
      </c>
      <c r="B363">
        <v>2004</v>
      </c>
      <c r="C363">
        <v>0.850220001591483</v>
      </c>
      <c r="D363">
        <v>0.998099505926282</v>
      </c>
      <c r="E363">
        <v>0.0998906138726676</v>
      </c>
      <c r="F363">
        <v>0.990389058863423</v>
      </c>
      <c r="G363">
        <v>0.798369348427606</v>
      </c>
      <c r="H363">
        <v>0.81752243258377</v>
      </c>
      <c r="I363">
        <v>0.406181015452538</v>
      </c>
      <c r="J363">
        <v>0.321398623750058</v>
      </c>
      <c r="K363">
        <v>0.862196276702925</v>
      </c>
      <c r="L363">
        <v>0.999907241037285</v>
      </c>
      <c r="M363">
        <v>0.0112870113817501</v>
      </c>
      <c r="N363">
        <v>0.221002545822504</v>
      </c>
    </row>
    <row r="364" spans="1:14">
      <c r="A364" t="s">
        <v>34</v>
      </c>
      <c r="B364">
        <v>2005</v>
      </c>
      <c r="C364">
        <v>0.833762983195562</v>
      </c>
      <c r="D364">
        <v>0.99710524108926</v>
      </c>
      <c r="E364">
        <v>0.0652797322318759</v>
      </c>
      <c r="F364">
        <v>0.964532691500438</v>
      </c>
      <c r="G364">
        <v>0.77221014311327</v>
      </c>
      <c r="H364">
        <v>0.744798772074191</v>
      </c>
      <c r="I364">
        <v>0.406181015452538</v>
      </c>
      <c r="J364">
        <v>0.321398623750058</v>
      </c>
      <c r="K364">
        <v>0.834635532043509</v>
      </c>
      <c r="L364">
        <v>0.999802979193409</v>
      </c>
      <c r="M364">
        <v>0.0111851164562895</v>
      </c>
      <c r="N364">
        <v>0.205675205912247</v>
      </c>
    </row>
    <row r="365" spans="1:14">
      <c r="A365" t="s">
        <v>34</v>
      </c>
      <c r="B365">
        <v>2006</v>
      </c>
      <c r="C365">
        <v>0.818120550695474</v>
      </c>
      <c r="D365">
        <v>0.983631011309356</v>
      </c>
      <c r="E365">
        <v>0.412761714855434</v>
      </c>
      <c r="F365">
        <v>0.986675857740684</v>
      </c>
      <c r="G365">
        <v>0.76966845210723</v>
      </c>
      <c r="H365">
        <v>0.745587324120773</v>
      </c>
      <c r="I365">
        <v>0.401986754966887</v>
      </c>
      <c r="J365">
        <v>0.296734646301866</v>
      </c>
      <c r="K365">
        <v>0.822476328108836</v>
      </c>
      <c r="L365">
        <v>0.999796097848317</v>
      </c>
      <c r="M365">
        <v>0.0114358990398307</v>
      </c>
      <c r="N365">
        <v>0.325909653709962</v>
      </c>
    </row>
    <row r="366" spans="1:14">
      <c r="A366" t="s">
        <v>34</v>
      </c>
      <c r="B366">
        <v>2007</v>
      </c>
      <c r="C366">
        <v>0.799144437318841</v>
      </c>
      <c r="D366">
        <v>0.949445294660879</v>
      </c>
      <c r="E366">
        <v>0.299672411337416</v>
      </c>
      <c r="F366">
        <v>0.995957748590656</v>
      </c>
      <c r="G366">
        <v>0.800237882769094</v>
      </c>
      <c r="H366">
        <v>0.81261424808023</v>
      </c>
      <c r="I366">
        <v>0.396688741721854</v>
      </c>
      <c r="J366">
        <v>0.259678327819345</v>
      </c>
      <c r="K366">
        <v>0.796942186610599</v>
      </c>
      <c r="L366">
        <v>0.999142820777678</v>
      </c>
      <c r="M366">
        <v>0.0143714851908715</v>
      </c>
      <c r="N366">
        <v>0.284051580852423</v>
      </c>
    </row>
    <row r="367" spans="1:14">
      <c r="A367" t="s">
        <v>34</v>
      </c>
      <c r="B367">
        <v>2008</v>
      </c>
      <c r="C367">
        <v>0.797473911250379</v>
      </c>
      <c r="D367">
        <v>0.942111505911243</v>
      </c>
      <c r="E367">
        <v>0.0863124910981342</v>
      </c>
      <c r="F367">
        <v>0.994453634773726</v>
      </c>
      <c r="G367">
        <v>0.785464731894343</v>
      </c>
      <c r="H367">
        <v>0.820499768546049</v>
      </c>
      <c r="I367">
        <v>0.395364238410596</v>
      </c>
      <c r="J367">
        <v>0.245515652351541</v>
      </c>
      <c r="K367">
        <v>0.776297541700898</v>
      </c>
      <c r="L367">
        <v>0.99851197566072</v>
      </c>
      <c r="M367">
        <v>0.02026990026921</v>
      </c>
      <c r="N367">
        <v>0.207915613110823</v>
      </c>
    </row>
    <row r="368" spans="1:14">
      <c r="A368" t="s">
        <v>34</v>
      </c>
      <c r="B368">
        <v>2009</v>
      </c>
      <c r="C368">
        <v>0.796296916222442</v>
      </c>
      <c r="D368">
        <v>0.880917442754852</v>
      </c>
      <c r="E368">
        <v>0.0505625979205241</v>
      </c>
      <c r="F368">
        <v>0.994641826747426</v>
      </c>
      <c r="G368">
        <v>0.80369508654682</v>
      </c>
      <c r="H368">
        <v>0.59891664345655</v>
      </c>
      <c r="I368">
        <v>0.369977924944812</v>
      </c>
      <c r="J368">
        <v>0.2105515472904</v>
      </c>
      <c r="K368">
        <v>0.765299183361517</v>
      </c>
      <c r="L368">
        <v>0.99780421529669</v>
      </c>
      <c r="M368">
        <v>0.0294397123422964</v>
      </c>
      <c r="N368">
        <v>0.191134150802862</v>
      </c>
    </row>
    <row r="369" spans="1:14">
      <c r="A369" t="s">
        <v>34</v>
      </c>
      <c r="B369">
        <v>2010</v>
      </c>
      <c r="C369">
        <v>0.777699359895285</v>
      </c>
      <c r="D369">
        <v>0.937164895727045</v>
      </c>
      <c r="E369">
        <v>0.0605326876513317</v>
      </c>
      <c r="F369">
        <v>0.992813461671866</v>
      </c>
      <c r="G369">
        <v>0.805655561007614</v>
      </c>
      <c r="H369">
        <v>0.49640487740091</v>
      </c>
      <c r="I369">
        <v>0.346136865342163</v>
      </c>
      <c r="J369">
        <v>0.167701407025596</v>
      </c>
      <c r="K369">
        <v>0.724392553405849</v>
      </c>
      <c r="L369">
        <v>0.995591243960773</v>
      </c>
      <c r="M369">
        <v>0.0300401953962582</v>
      </c>
      <c r="N369">
        <v>0.189103827368165</v>
      </c>
    </row>
    <row r="370" spans="1:14">
      <c r="A370" t="s">
        <v>34</v>
      </c>
      <c r="B370">
        <v>2011</v>
      </c>
      <c r="C370">
        <v>0.766198282756911</v>
      </c>
      <c r="D370">
        <v>0.925937583260115</v>
      </c>
      <c r="E370">
        <v>0.123913972368609</v>
      </c>
      <c r="F370">
        <v>0.9552261796084</v>
      </c>
      <c r="G370">
        <v>0.824016877052234</v>
      </c>
      <c r="H370">
        <v>0.620996100760842</v>
      </c>
      <c r="I370">
        <v>0.325386313465784</v>
      </c>
      <c r="J370">
        <v>0.148831251359687</v>
      </c>
      <c r="K370">
        <v>0.720186615163914</v>
      </c>
      <c r="L370">
        <v>0.993690317093219</v>
      </c>
      <c r="M370">
        <v>0.0101946806334583</v>
      </c>
      <c r="N370">
        <v>0.203172064934542</v>
      </c>
    </row>
    <row r="371" spans="1:14">
      <c r="A371" t="s">
        <v>34</v>
      </c>
      <c r="B371">
        <v>2012</v>
      </c>
      <c r="C371">
        <v>0.760822112157715</v>
      </c>
      <c r="D371">
        <v>0.925748624068815</v>
      </c>
      <c r="E371">
        <v>0.0722119356217062</v>
      </c>
      <c r="F371">
        <v>0.960431021737569</v>
      </c>
      <c r="G371">
        <v>0.781413002008657</v>
      </c>
      <c r="H371">
        <v>0.511387366285965</v>
      </c>
      <c r="I371">
        <v>0.290286975717439</v>
      </c>
      <c r="J371">
        <v>0.087110955428974</v>
      </c>
      <c r="K371">
        <v>0.698432069884814</v>
      </c>
      <c r="L371">
        <v>0.991612240161788</v>
      </c>
      <c r="M371">
        <v>0.0126693791813228</v>
      </c>
      <c r="N371">
        <v>0.174835614728425</v>
      </c>
    </row>
    <row r="372" spans="1:14">
      <c r="A372" t="s">
        <v>34</v>
      </c>
      <c r="B372">
        <v>2013</v>
      </c>
      <c r="C372">
        <v>0.755</v>
      </c>
      <c r="D372">
        <v>0.919091606556976</v>
      </c>
      <c r="E372">
        <v>0.0442956843754451</v>
      </c>
      <c r="F372">
        <v>0.965285083641246</v>
      </c>
      <c r="G372">
        <v>0.784091729943104</v>
      </c>
      <c r="H372">
        <v>0.509810262192802</v>
      </c>
      <c r="I372">
        <v>0.465795658572479</v>
      </c>
      <c r="J372">
        <v>0.197927399738284</v>
      </c>
      <c r="K372">
        <v>0.69704226475428</v>
      </c>
      <c r="L372">
        <v>0.99153993188732</v>
      </c>
      <c r="M372">
        <v>0.0134667659802843</v>
      </c>
      <c r="N372">
        <v>0.18534420213035</v>
      </c>
    </row>
    <row r="373" spans="1:14">
      <c r="A373" t="s">
        <v>34</v>
      </c>
      <c r="B373">
        <v>2014</v>
      </c>
      <c r="C373">
        <v>0.739518234833319</v>
      </c>
      <c r="D373">
        <v>0.908865230645035</v>
      </c>
      <c r="E373">
        <v>0.0478564307078764</v>
      </c>
      <c r="F373">
        <v>0.968964675784537</v>
      </c>
      <c r="G373">
        <v>0.770674974731293</v>
      </c>
      <c r="H373">
        <v>0.493250669214583</v>
      </c>
      <c r="I373">
        <v>0.554287613441256</v>
      </c>
      <c r="J373">
        <v>0.256106642335476</v>
      </c>
      <c r="K373">
        <v>0.679334100820453</v>
      </c>
      <c r="L373">
        <v>0.979537669646332</v>
      </c>
      <c r="M373">
        <v>0.0138021630601489</v>
      </c>
      <c r="N373">
        <v>0.19511416487218</v>
      </c>
    </row>
    <row r="374" spans="1:14">
      <c r="A374" t="s">
        <v>34</v>
      </c>
      <c r="B374">
        <v>2015</v>
      </c>
      <c r="C374">
        <v>0.740013558257693</v>
      </c>
      <c r="D374">
        <v>0.898560660180334</v>
      </c>
      <c r="E374">
        <v>0.0341831647913403</v>
      </c>
      <c r="F374">
        <v>0.974560469014117</v>
      </c>
      <c r="G374">
        <v>0.753068421967244</v>
      </c>
      <c r="H374">
        <v>0.530312615403929</v>
      </c>
      <c r="I374">
        <v>0.816813024282561</v>
      </c>
      <c r="J374">
        <v>0.419560288356901</v>
      </c>
      <c r="K374">
        <v>0.694262654493213</v>
      </c>
      <c r="L374">
        <v>0.977941921345581</v>
      </c>
      <c r="M374">
        <v>0.0127615922456904</v>
      </c>
      <c r="N374">
        <v>0.219676784054687</v>
      </c>
    </row>
    <row r="375" spans="1:14">
      <c r="A375" t="s">
        <v>34</v>
      </c>
      <c r="B375">
        <v>2016</v>
      </c>
      <c r="C375">
        <v>0.730681054753107</v>
      </c>
      <c r="D375">
        <v>0.856116084354792</v>
      </c>
      <c r="E375">
        <v>0.0366044722973934</v>
      </c>
      <c r="F375">
        <v>0.968343098136723</v>
      </c>
      <c r="G375">
        <v>0.705948663496179</v>
      </c>
      <c r="H375">
        <v>0.626515965086915</v>
      </c>
      <c r="I375">
        <v>0.731271523178808</v>
      </c>
      <c r="J375">
        <v>0.372465127529863</v>
      </c>
      <c r="K375">
        <v>0.643917772952796</v>
      </c>
      <c r="L375">
        <v>0.976931583124097</v>
      </c>
      <c r="M375">
        <v>0.00332956034997881</v>
      </c>
      <c r="N375">
        <v>0.204005219981514</v>
      </c>
    </row>
    <row r="376" spans="1:14">
      <c r="A376" t="s">
        <v>34</v>
      </c>
      <c r="B376">
        <v>2017</v>
      </c>
      <c r="C376">
        <v>0.719416714713231</v>
      </c>
      <c r="D376">
        <v>0.87782285404961</v>
      </c>
      <c r="E376">
        <v>0.0444381142287424</v>
      </c>
      <c r="F376">
        <v>0.978933948935388</v>
      </c>
      <c r="G376">
        <v>0.727739376082061</v>
      </c>
      <c r="H376">
        <v>0.537409583823166</v>
      </c>
      <c r="I376">
        <v>0.642926269315673</v>
      </c>
      <c r="J376">
        <v>0.336600646469806</v>
      </c>
      <c r="K376">
        <v>0.612901779887157</v>
      </c>
      <c r="L376">
        <v>0.975594427932557</v>
      </c>
      <c r="M376">
        <v>0.00322246447969542</v>
      </c>
      <c r="N376">
        <v>0.197796556418156</v>
      </c>
    </row>
    <row r="377" spans="1:14">
      <c r="A377" t="s">
        <v>34</v>
      </c>
      <c r="B377">
        <v>2018</v>
      </c>
      <c r="C377">
        <v>0.707268518518518</v>
      </c>
      <c r="D377">
        <v>0.868341123418358</v>
      </c>
      <c r="E377">
        <v>0.0475714285714286</v>
      </c>
      <c r="F377">
        <v>0.980011383615001</v>
      </c>
      <c r="G377">
        <v>0.717878410628958</v>
      </c>
      <c r="H377">
        <v>0.46399459973435</v>
      </c>
      <c r="I377">
        <v>0.381124061810155</v>
      </c>
      <c r="J377">
        <v>0.185683780207991</v>
      </c>
      <c r="K377">
        <v>0.490906847847673</v>
      </c>
      <c r="L377">
        <v>0.974190533074423</v>
      </c>
      <c r="M377">
        <v>0.00299938218705781</v>
      </c>
      <c r="N377">
        <v>0.165041181271471</v>
      </c>
    </row>
    <row r="378" spans="1:14">
      <c r="A378" t="s">
        <v>34</v>
      </c>
      <c r="B378">
        <v>2019</v>
      </c>
      <c r="C378">
        <v>0.693499879894308</v>
      </c>
      <c r="D378">
        <v>0.861560180487059</v>
      </c>
      <c r="E378">
        <v>0.0292803019512889</v>
      </c>
      <c r="F378">
        <v>0.975276042152891</v>
      </c>
      <c r="G378">
        <v>0.663831947321847</v>
      </c>
      <c r="H378">
        <v>0.466699731472909</v>
      </c>
      <c r="I378">
        <v>0.317695584988962</v>
      </c>
      <c r="J378">
        <v>0.146588237632474</v>
      </c>
      <c r="K378">
        <v>0.459193496608459</v>
      </c>
      <c r="L378">
        <v>0.948143492566268</v>
      </c>
      <c r="M378">
        <v>0.00276954723205627</v>
      </c>
      <c r="N378">
        <v>0.146824802472733</v>
      </c>
    </row>
    <row r="379" spans="1:14">
      <c r="A379" t="s">
        <v>34</v>
      </c>
      <c r="B379">
        <v>2020</v>
      </c>
      <c r="C379">
        <v>0.686362220109844</v>
      </c>
      <c r="D379">
        <v>0.820012241425784</v>
      </c>
      <c r="E379">
        <v>0.0143854151830224</v>
      </c>
      <c r="F379">
        <v>0.985062091692991</v>
      </c>
      <c r="G379">
        <v>0.678272044014552</v>
      </c>
      <c r="H379">
        <v>0.392949724884568</v>
      </c>
      <c r="I379">
        <v>0.304635761589404</v>
      </c>
      <c r="J379">
        <v>0.139376056089989</v>
      </c>
      <c r="K379">
        <v>0.443856597178485</v>
      </c>
      <c r="L379">
        <v>0.942469036022878</v>
      </c>
      <c r="M379">
        <v>0.00614213516849973</v>
      </c>
      <c r="N379">
        <v>0.139713649519752</v>
      </c>
    </row>
    <row r="380" spans="1:14">
      <c r="A380" t="s">
        <v>34</v>
      </c>
      <c r="B380">
        <v>2021</v>
      </c>
      <c r="C380">
        <v>0.64543506254599</v>
      </c>
      <c r="D380">
        <v>0.759449325007409</v>
      </c>
      <c r="E380">
        <v>0.0248027346531833</v>
      </c>
      <c r="F380">
        <v>0.985145103571751</v>
      </c>
      <c r="G380">
        <v>0.728938564394463</v>
      </c>
      <c r="H380">
        <v>0</v>
      </c>
      <c r="I380">
        <v>0.198675496688742</v>
      </c>
      <c r="J380">
        <v>0.0170620406862282</v>
      </c>
      <c r="K380">
        <v>0.389653159506701</v>
      </c>
      <c r="L380">
        <v>0.948272723382157</v>
      </c>
      <c r="M380">
        <v>0.00627482590532068</v>
      </c>
      <c r="N380">
        <v>0.122376340846966</v>
      </c>
    </row>
    <row r="381" spans="1:14">
      <c r="A381" t="s">
        <v>34</v>
      </c>
      <c r="B381">
        <v>2022</v>
      </c>
      <c r="C381">
        <v>0.644543204024124</v>
      </c>
      <c r="D381">
        <v>0.750297201899474</v>
      </c>
      <c r="E381">
        <v>0.0198376299672411</v>
      </c>
      <c r="F381">
        <v>0.98698707113788</v>
      </c>
      <c r="G381">
        <v>0.735404002287602</v>
      </c>
      <c r="H381">
        <v>0.0713564872686816</v>
      </c>
      <c r="I381">
        <v>0.190193818984548</v>
      </c>
      <c r="J381">
        <v>0</v>
      </c>
      <c r="K381">
        <v>0.380783502296478</v>
      </c>
      <c r="L381">
        <v>0.955437797989321</v>
      </c>
      <c r="M381">
        <v>0.00630161737522648</v>
      </c>
      <c r="N381">
        <v>0.119475195577377</v>
      </c>
    </row>
    <row r="382" spans="1:14">
      <c r="A382" t="s">
        <v>35</v>
      </c>
      <c r="B382">
        <v>2003</v>
      </c>
      <c r="C382">
        <v>0.951057000205888</v>
      </c>
      <c r="D382">
        <v>1</v>
      </c>
      <c r="E382">
        <v>0.658028058681099</v>
      </c>
      <c r="F382">
        <v>1</v>
      </c>
      <c r="G382">
        <v>0.469275242807219</v>
      </c>
      <c r="H382">
        <v>0.959544362367779</v>
      </c>
      <c r="I382">
        <v>0.592273730684327</v>
      </c>
      <c r="J382">
        <v>0.811620322328814</v>
      </c>
      <c r="K382">
        <v>0.996855818370205</v>
      </c>
      <c r="L382">
        <v>0.997791442660481</v>
      </c>
      <c r="M382">
        <v>0.0456060653378455</v>
      </c>
      <c r="N382">
        <v>0.471005515945513</v>
      </c>
    </row>
    <row r="383" spans="1:14">
      <c r="A383" t="s">
        <v>35</v>
      </c>
      <c r="B383">
        <v>2004</v>
      </c>
      <c r="C383">
        <v>0.946579427933456</v>
      </c>
      <c r="D383">
        <v>0.999956275232367</v>
      </c>
      <c r="E383">
        <v>0.464500498504486</v>
      </c>
      <c r="F383">
        <v>0.995331764705882</v>
      </c>
      <c r="G383">
        <v>0.53867885950868</v>
      </c>
      <c r="H383">
        <v>0.952493208822449</v>
      </c>
      <c r="I383">
        <v>0.554083885209713</v>
      </c>
      <c r="J383">
        <v>0.66926933992799</v>
      </c>
      <c r="K383">
        <v>0.996406649565949</v>
      </c>
      <c r="L383">
        <v>0.997044182136001</v>
      </c>
      <c r="M383">
        <v>0.0494302531484852</v>
      </c>
      <c r="N383">
        <v>0.393610250799386</v>
      </c>
    </row>
    <row r="384" spans="1:14">
      <c r="A384" t="s">
        <v>35</v>
      </c>
      <c r="B384">
        <v>2005</v>
      </c>
      <c r="C384">
        <v>0.937417466380544</v>
      </c>
      <c r="D384">
        <v>0.997431085454575</v>
      </c>
      <c r="E384">
        <v>0.389103119213787</v>
      </c>
      <c r="F384">
        <v>0.993298541816727</v>
      </c>
      <c r="G384">
        <v>0.55700804281506</v>
      </c>
      <c r="H384">
        <v>0.95376506441838</v>
      </c>
      <c r="I384">
        <v>0.554083885209713</v>
      </c>
      <c r="J384">
        <v>0.66926933992799</v>
      </c>
      <c r="K384">
        <v>0.98877077989359</v>
      </c>
      <c r="L384">
        <v>0.995986694086604</v>
      </c>
      <c r="M384">
        <v>0.0540661166765788</v>
      </c>
      <c r="N384">
        <v>0.368983419221566</v>
      </c>
    </row>
    <row r="385" spans="1:14">
      <c r="A385" t="s">
        <v>35</v>
      </c>
      <c r="B385">
        <v>2006</v>
      </c>
      <c r="C385">
        <v>0.929803137175955</v>
      </c>
      <c r="D385">
        <v>0.997236704020667</v>
      </c>
      <c r="E385">
        <v>0.385272753169064</v>
      </c>
      <c r="F385">
        <v>0.994375504684632</v>
      </c>
      <c r="G385">
        <v>0.535062890875625</v>
      </c>
      <c r="H385">
        <v>0.926165742788016</v>
      </c>
      <c r="I385">
        <v>0.611479028697572</v>
      </c>
      <c r="J385">
        <v>0.66737830087405</v>
      </c>
      <c r="K385">
        <v>0.989219948697846</v>
      </c>
      <c r="L385">
        <v>0.994292392656192</v>
      </c>
      <c r="M385">
        <v>0.0544797418410284</v>
      </c>
      <c r="N385">
        <v>0.370014367060606</v>
      </c>
    </row>
    <row r="386" spans="1:14">
      <c r="A386" t="s">
        <v>35</v>
      </c>
      <c r="B386">
        <v>2007</v>
      </c>
      <c r="C386">
        <v>0.918334155480984</v>
      </c>
      <c r="D386">
        <v>0.996986456230316</v>
      </c>
      <c r="E386">
        <v>0.263352798746617</v>
      </c>
      <c r="F386">
        <v>0.997774373096835</v>
      </c>
      <c r="G386">
        <v>0.526691760443702</v>
      </c>
      <c r="H386">
        <v>0.92774284688118</v>
      </c>
      <c r="I386">
        <v>0.508167770419426</v>
      </c>
      <c r="J386">
        <v>0.651565995593235</v>
      </c>
      <c r="K386">
        <v>0.990567455110615</v>
      </c>
      <c r="L386">
        <v>0.992134675718072</v>
      </c>
      <c r="M386">
        <v>0.0517630674660024</v>
      </c>
      <c r="N386">
        <v>0.316939016540422</v>
      </c>
    </row>
    <row r="387" spans="1:14">
      <c r="A387" t="s">
        <v>35</v>
      </c>
      <c r="B387">
        <v>2008</v>
      </c>
      <c r="C387">
        <v>0.910571783187985</v>
      </c>
      <c r="D387">
        <v>0.997751771137717</v>
      </c>
      <c r="E387">
        <v>0.227318045862413</v>
      </c>
      <c r="F387">
        <v>0.996884523857325</v>
      </c>
      <c r="G387">
        <v>0.399599733155437</v>
      </c>
      <c r="H387">
        <v>0.934839815300416</v>
      </c>
      <c r="I387">
        <v>0.378807947019867</v>
      </c>
      <c r="J387">
        <v>0.595156702962948</v>
      </c>
      <c r="K387">
        <v>0.986511447319627</v>
      </c>
      <c r="L387">
        <v>0.989715950543796</v>
      </c>
      <c r="M387">
        <v>0.0576530510564031</v>
      </c>
      <c r="N387">
        <v>0.286680106331356</v>
      </c>
    </row>
    <row r="388" spans="1:14">
      <c r="A388" t="s">
        <v>35</v>
      </c>
      <c r="B388">
        <v>2009</v>
      </c>
      <c r="C388">
        <v>0.899187113090335</v>
      </c>
      <c r="D388">
        <v>0.99733667451977</v>
      </c>
      <c r="E388">
        <v>0.111237715425153</v>
      </c>
      <c r="F388">
        <v>0.996905902881008</v>
      </c>
      <c r="G388">
        <v>0.472576561169693</v>
      </c>
      <c r="H388">
        <v>0.848099090176413</v>
      </c>
      <c r="I388">
        <v>0.353421633554084</v>
      </c>
      <c r="J388">
        <v>0.572142355327767</v>
      </c>
      <c r="K388">
        <v>0.985577624441755</v>
      </c>
      <c r="L388">
        <v>0.987660742486151</v>
      </c>
      <c r="M388">
        <v>0.0582370041026756</v>
      </c>
      <c r="N388">
        <v>0.244726462647983</v>
      </c>
    </row>
    <row r="389" spans="1:14">
      <c r="A389" t="s">
        <v>35</v>
      </c>
      <c r="B389">
        <v>2010</v>
      </c>
      <c r="C389">
        <v>0.876832494577007</v>
      </c>
      <c r="D389">
        <v>0.996058463544147</v>
      </c>
      <c r="E389">
        <v>0.108958837772397</v>
      </c>
      <c r="F389">
        <v>0.996211731610478</v>
      </c>
      <c r="G389">
        <v>0.539421629923825</v>
      </c>
      <c r="H389">
        <v>0.839425017664013</v>
      </c>
      <c r="I389">
        <v>0.328697571743929</v>
      </c>
      <c r="J389">
        <v>0.547760021993991</v>
      </c>
      <c r="K389">
        <v>0.986075767068051</v>
      </c>
      <c r="L389">
        <v>0.983042137718397</v>
      </c>
      <c r="M389">
        <v>0.0624600195135684</v>
      </c>
      <c r="N389">
        <v>0.244581851064122</v>
      </c>
    </row>
    <row r="390" spans="1:14">
      <c r="A390" t="s">
        <v>35</v>
      </c>
      <c r="B390">
        <v>2011</v>
      </c>
      <c r="C390">
        <v>0.863413261403509</v>
      </c>
      <c r="D390">
        <v>0.994558154437896</v>
      </c>
      <c r="E390">
        <v>0.127047429141148</v>
      </c>
      <c r="F390">
        <v>0.996027795960711</v>
      </c>
      <c r="G390">
        <v>0.605250141412399</v>
      </c>
      <c r="H390">
        <v>0.832328049244776</v>
      </c>
      <c r="I390">
        <v>0.307726269315673</v>
      </c>
      <c r="J390">
        <v>0.462462090199264</v>
      </c>
      <c r="K390">
        <v>0.970804027723334</v>
      </c>
      <c r="L390">
        <v>0.980816614202697</v>
      </c>
      <c r="M390">
        <v>0.0356225535182254</v>
      </c>
      <c r="N390">
        <v>0.236126465687317</v>
      </c>
    </row>
    <row r="391" spans="1:14">
      <c r="A391" t="s">
        <v>35</v>
      </c>
      <c r="B391">
        <v>2012</v>
      </c>
      <c r="C391">
        <v>0.859528627148133</v>
      </c>
      <c r="D391">
        <v>0.993214361321936</v>
      </c>
      <c r="E391">
        <v>0.0959977211223472</v>
      </c>
      <c r="F391">
        <v>0.996480279352206</v>
      </c>
      <c r="G391">
        <v>0.551748947534989</v>
      </c>
      <c r="H391">
        <v>0.829962393105031</v>
      </c>
      <c r="I391">
        <v>0.26401766004415</v>
      </c>
      <c r="J391">
        <v>0.440896198009653</v>
      </c>
      <c r="K391">
        <v>0.958227301204154</v>
      </c>
      <c r="L391">
        <v>0.974265980570775</v>
      </c>
      <c r="M391">
        <v>0.0355642856414411</v>
      </c>
      <c r="N391">
        <v>0.217274298350451</v>
      </c>
    </row>
    <row r="392" spans="1:14">
      <c r="A392" t="s">
        <v>35</v>
      </c>
      <c r="B392">
        <v>2013</v>
      </c>
      <c r="C392">
        <v>0.850407243007116</v>
      </c>
      <c r="D392">
        <v>0.990375588068446</v>
      </c>
      <c r="E392">
        <v>0.0914399658168352</v>
      </c>
      <c r="F392">
        <v>0.996422869783811</v>
      </c>
      <c r="G392">
        <v>0.619106202056498</v>
      </c>
      <c r="H392">
        <v>0.835482257431104</v>
      </c>
      <c r="I392">
        <v>0.305836129506991</v>
      </c>
      <c r="J392">
        <v>0.464805476524207</v>
      </c>
      <c r="K392">
        <v>0.950381044696014</v>
      </c>
      <c r="L392">
        <v>0.9692838720937</v>
      </c>
      <c r="M392">
        <v>0.0368968297376305</v>
      </c>
      <c r="N392">
        <v>0.223636901352505</v>
      </c>
    </row>
    <row r="393" spans="1:14">
      <c r="A393" t="s">
        <v>35</v>
      </c>
      <c r="B393">
        <v>2014</v>
      </c>
      <c r="C393">
        <v>0.843241090146751</v>
      </c>
      <c r="D393">
        <v>0.982208208717702</v>
      </c>
      <c r="E393">
        <v>0.0998433271613731</v>
      </c>
      <c r="F393">
        <v>0.99583729016723</v>
      </c>
      <c r="G393">
        <v>0.511230393965777</v>
      </c>
      <c r="H393">
        <v>0.811825696033648</v>
      </c>
      <c r="I393">
        <v>0.309356536669119</v>
      </c>
      <c r="J393">
        <v>0.470773747776848</v>
      </c>
      <c r="K393">
        <v>0.937105807135509</v>
      </c>
      <c r="L393">
        <v>0.961974487636781</v>
      </c>
      <c r="M393">
        <v>0.0382336340674766</v>
      </c>
      <c r="N393">
        <v>0.221416823344143</v>
      </c>
    </row>
    <row r="394" spans="1:14">
      <c r="A394" t="s">
        <v>35</v>
      </c>
      <c r="B394">
        <v>2015</v>
      </c>
      <c r="C394">
        <v>0.841487563223169</v>
      </c>
      <c r="D394">
        <v>0.982115447608432</v>
      </c>
      <c r="E394">
        <v>0.0789061387266772</v>
      </c>
      <c r="F394">
        <v>0.995657919004803</v>
      </c>
      <c r="G394">
        <v>0.412041689658154</v>
      </c>
      <c r="H394">
        <v>0.815768456266558</v>
      </c>
      <c r="I394">
        <v>0.389473068432671</v>
      </c>
      <c r="J394">
        <v>0.512624033553309</v>
      </c>
      <c r="K394">
        <v>0.934688531679734</v>
      </c>
      <c r="L394">
        <v>0.956365021035587</v>
      </c>
      <c r="M394">
        <v>0.0380723906462787</v>
      </c>
      <c r="N394">
        <v>0.217460990348608</v>
      </c>
    </row>
    <row r="395" spans="1:14">
      <c r="A395" t="s">
        <v>35</v>
      </c>
      <c r="B395">
        <v>2016</v>
      </c>
      <c r="C395">
        <v>0.839928625351726</v>
      </c>
      <c r="D395">
        <v>0.972117862588991</v>
      </c>
      <c r="E395">
        <v>0.0591083891183593</v>
      </c>
      <c r="F395">
        <v>0.995523578370697</v>
      </c>
      <c r="G395">
        <v>0.43771291623883</v>
      </c>
      <c r="H395">
        <v>0.838636465617431</v>
      </c>
      <c r="I395">
        <v>0.316397350993377</v>
      </c>
      <c r="J395">
        <v>0.482710290282139</v>
      </c>
      <c r="K395">
        <v>0.910555332014499</v>
      </c>
      <c r="L395">
        <v>0.952284084062799</v>
      </c>
      <c r="M395">
        <v>0.00111050980824977</v>
      </c>
      <c r="N395">
        <v>0.190677701896195</v>
      </c>
    </row>
    <row r="396" spans="1:14">
      <c r="A396" t="s">
        <v>35</v>
      </c>
      <c r="B396">
        <v>2017</v>
      </c>
      <c r="C396">
        <v>0.831657156443177</v>
      </c>
      <c r="D396">
        <v>0.969853452382444</v>
      </c>
      <c r="E396">
        <v>0.0313345677253953</v>
      </c>
      <c r="F396">
        <v>0.994336151864193</v>
      </c>
      <c r="G396">
        <v>0.427127378599363</v>
      </c>
      <c r="H396">
        <v>0.864658683154632</v>
      </c>
      <c r="I396">
        <v>0.276477041942605</v>
      </c>
      <c r="J396">
        <v>0.461486716396166</v>
      </c>
      <c r="K396">
        <v>0.892267344774255</v>
      </c>
      <c r="L396">
        <v>0.940294338902957</v>
      </c>
      <c r="M396">
        <v>0.00108976359412156</v>
      </c>
      <c r="N396">
        <v>0.175325376073107</v>
      </c>
    </row>
    <row r="397" spans="1:14">
      <c r="A397" t="s">
        <v>35</v>
      </c>
      <c r="B397">
        <v>2018</v>
      </c>
      <c r="C397">
        <v>0.803204298901692</v>
      </c>
      <c r="D397">
        <v>0.951472782130483</v>
      </c>
      <c r="E397">
        <v>0.0263274462327304</v>
      </c>
      <c r="F397">
        <v>0.994751563899482</v>
      </c>
      <c r="G397">
        <v>0.491930922408383</v>
      </c>
      <c r="H397">
        <v>0.866202668061839</v>
      </c>
      <c r="I397">
        <v>0.209166225165563</v>
      </c>
      <c r="J397">
        <v>0.362312983781604</v>
      </c>
      <c r="K397">
        <v>0.881341824619348</v>
      </c>
      <c r="L397">
        <v>0.93117228535977</v>
      </c>
      <c r="M397">
        <v>0.000357545689109552</v>
      </c>
      <c r="N397">
        <v>0.163029025754748</v>
      </c>
    </row>
    <row r="398" spans="1:14">
      <c r="A398" t="s">
        <v>35</v>
      </c>
      <c r="B398">
        <v>2019</v>
      </c>
      <c r="C398">
        <v>0.781178576207681</v>
      </c>
      <c r="D398">
        <v>0.940893474349566</v>
      </c>
      <c r="E398">
        <v>0.0164594787067369</v>
      </c>
      <c r="F398">
        <v>0.994616894005696</v>
      </c>
      <c r="G398">
        <v>0.540470877684192</v>
      </c>
      <c r="H398">
        <v>0.757646773583269</v>
      </c>
      <c r="I398">
        <v>0.159100441501104</v>
      </c>
      <c r="J398">
        <v>0.315887773833017</v>
      </c>
      <c r="K398">
        <v>0.835940601394384</v>
      </c>
      <c r="L398">
        <v>0.934426704109549</v>
      </c>
      <c r="M398">
        <v>4.43792283225851e-5</v>
      </c>
      <c r="N398">
        <v>0.152190402510812</v>
      </c>
    </row>
    <row r="399" spans="1:14">
      <c r="A399" t="s">
        <v>35</v>
      </c>
      <c r="B399">
        <v>2020</v>
      </c>
      <c r="C399">
        <v>0.768895862389586</v>
      </c>
      <c r="D399">
        <v>0.932874649731272</v>
      </c>
      <c r="E399">
        <v>0.00911551061102408</v>
      </c>
      <c r="F399">
        <v>0.991336617890799</v>
      </c>
      <c r="G399">
        <v>0.531921057221919</v>
      </c>
      <c r="H399">
        <v>0.730682988632209</v>
      </c>
      <c r="I399">
        <v>0.132450331125828</v>
      </c>
      <c r="J399">
        <v>0.287842739261</v>
      </c>
      <c r="K399">
        <v>0.81946091027809</v>
      </c>
      <c r="L399">
        <v>0.932065284204625</v>
      </c>
      <c r="M399">
        <v>0.00507520770376037</v>
      </c>
      <c r="N399">
        <v>0.145888947590321</v>
      </c>
    </row>
    <row r="400" spans="1:14">
      <c r="A400" t="s">
        <v>35</v>
      </c>
      <c r="B400">
        <v>2021</v>
      </c>
      <c r="C400">
        <v>0.746001588246973</v>
      </c>
      <c r="D400">
        <v>0.912997955655128</v>
      </c>
      <c r="E400">
        <v>0.00755590371741922</v>
      </c>
      <c r="F400">
        <v>0.990328530995209</v>
      </c>
      <c r="G400">
        <v>0.557473906907394</v>
      </c>
      <c r="H400">
        <v>0.861816532945297</v>
      </c>
      <c r="I400">
        <v>0.1280353200883</v>
      </c>
      <c r="J400">
        <v>0.262897117698391</v>
      </c>
      <c r="K400">
        <v>0.762023228947845</v>
      </c>
      <c r="L400">
        <v>0.93233340857142</v>
      </c>
      <c r="M400">
        <v>0.00496417785268856</v>
      </c>
      <c r="N400">
        <v>0.143379531065055</v>
      </c>
    </row>
    <row r="401" spans="1:14">
      <c r="A401" t="s">
        <v>35</v>
      </c>
      <c r="B401">
        <v>2022</v>
      </c>
      <c r="C401">
        <v>0.748883495145631</v>
      </c>
      <c r="D401">
        <v>0.929646796897122</v>
      </c>
      <c r="E401">
        <v>0.00801737644210225</v>
      </c>
      <c r="F401">
        <v>0.990073822246041</v>
      </c>
      <c r="G401">
        <v>0.573500489279116</v>
      </c>
      <c r="H401">
        <v>0.770595320908222</v>
      </c>
      <c r="I401">
        <v>0.113064238410596</v>
      </c>
      <c r="J401">
        <v>0.248059502227825</v>
      </c>
      <c r="K401">
        <v>0.740518948200015</v>
      </c>
      <c r="L401">
        <v>0.930577330552257</v>
      </c>
      <c r="M401">
        <v>0.00452135915972575</v>
      </c>
      <c r="N401">
        <v>0.141062468938581</v>
      </c>
    </row>
    <row r="402" spans="1:14">
      <c r="A402" t="s">
        <v>36</v>
      </c>
      <c r="B402">
        <v>2003</v>
      </c>
      <c r="C402">
        <v>0.960089066995479</v>
      </c>
      <c r="D402">
        <v>0.682639274591679</v>
      </c>
      <c r="E402">
        <v>0.427943455348241</v>
      </c>
      <c r="F402">
        <v>0.997838661362403</v>
      </c>
      <c r="G402">
        <v>0.753622352071806</v>
      </c>
      <c r="H402">
        <v>0.999032683204458</v>
      </c>
      <c r="I402">
        <v>0.929139072847682</v>
      </c>
      <c r="J402">
        <v>0.880663365234358</v>
      </c>
      <c r="K402">
        <v>0.989912430240837</v>
      </c>
      <c r="L402">
        <v>0.454659177579261</v>
      </c>
      <c r="M402">
        <v>0.00301153399088067</v>
      </c>
      <c r="N402">
        <v>0.397866452255892</v>
      </c>
    </row>
    <row r="403" spans="1:14">
      <c r="A403" t="s">
        <v>36</v>
      </c>
      <c r="B403">
        <v>2004</v>
      </c>
      <c r="C403">
        <v>0.953169877343113</v>
      </c>
      <c r="D403">
        <v>0.687837738861808</v>
      </c>
      <c r="E403">
        <v>0.16752741774676</v>
      </c>
      <c r="F403">
        <v>0.996277291330417</v>
      </c>
      <c r="G403">
        <v>0.827205140930924</v>
      </c>
      <c r="H403">
        <v>0.99695137893271</v>
      </c>
      <c r="I403">
        <v>1</v>
      </c>
      <c r="J403">
        <v>0.815724279424598</v>
      </c>
      <c r="K403">
        <v>0.99279462267434</v>
      </c>
      <c r="L403">
        <v>0.125213228923689</v>
      </c>
      <c r="M403">
        <v>0.00628581666865067</v>
      </c>
      <c r="N403">
        <v>0.303268801110045</v>
      </c>
    </row>
    <row r="404" spans="1:14">
      <c r="A404" t="s">
        <v>36</v>
      </c>
      <c r="B404">
        <v>2005</v>
      </c>
      <c r="C404">
        <v>0.943656243357488</v>
      </c>
      <c r="D404">
        <v>0.729301627025258</v>
      </c>
      <c r="E404">
        <v>0.248327588662584</v>
      </c>
      <c r="F404">
        <v>0.988268356529905</v>
      </c>
      <c r="G404">
        <v>0.849899933288859</v>
      </c>
      <c r="H404">
        <v>0.998712531073546</v>
      </c>
      <c r="I404">
        <v>1</v>
      </c>
      <c r="J404">
        <v>0.815724279424598</v>
      </c>
      <c r="K404">
        <v>0.989912430240837</v>
      </c>
      <c r="L404">
        <v>0.120357584291283</v>
      </c>
      <c r="M404">
        <v>0</v>
      </c>
      <c r="N404">
        <v>0.331476116286658</v>
      </c>
    </row>
    <row r="405" spans="1:14">
      <c r="A405" t="s">
        <v>36</v>
      </c>
      <c r="B405">
        <v>2006</v>
      </c>
      <c r="C405">
        <v>0.933208066786284</v>
      </c>
      <c r="D405">
        <v>0.693536111044406</v>
      </c>
      <c r="E405">
        <v>0.414470873095001</v>
      </c>
      <c r="F405">
        <v>0.983604312815613</v>
      </c>
      <c r="G405">
        <v>0.894666619851831</v>
      </c>
      <c r="H405">
        <v>0.998712531073546</v>
      </c>
      <c r="I405">
        <v>0.897792494481236</v>
      </c>
      <c r="J405">
        <v>0.776535512647209</v>
      </c>
      <c r="K405">
        <v>0.994235615132994</v>
      </c>
      <c r="L405">
        <v>0.114055097385507</v>
      </c>
      <c r="M405">
        <v>0.00615047611836874</v>
      </c>
      <c r="N405">
        <v>0.383823391823689</v>
      </c>
    </row>
    <row r="406" spans="1:14">
      <c r="A406" t="s">
        <v>36</v>
      </c>
      <c r="B406">
        <v>2007</v>
      </c>
      <c r="C406">
        <v>0.923380429980276</v>
      </c>
      <c r="D406">
        <v>0.704010230672715</v>
      </c>
      <c r="E406">
        <v>0.49323458196838</v>
      </c>
      <c r="F406">
        <v>0.983493336201025</v>
      </c>
      <c r="G406">
        <v>0.885888838172817</v>
      </c>
      <c r="H406">
        <v>0.993192666747473</v>
      </c>
      <c r="I406">
        <v>0.858057395143488</v>
      </c>
      <c r="J406">
        <v>0.784944601206217</v>
      </c>
      <c r="K406">
        <v>0.997117807566497</v>
      </c>
      <c r="L406">
        <v>0.104122979643191</v>
      </c>
      <c r="M406">
        <v>0.00608496808870562</v>
      </c>
      <c r="N406">
        <v>0.409109875823696</v>
      </c>
    </row>
    <row r="407" spans="1:14">
      <c r="A407" t="s">
        <v>36</v>
      </c>
      <c r="B407">
        <v>2008</v>
      </c>
      <c r="C407">
        <v>0.91851956010929</v>
      </c>
      <c r="D407">
        <v>0.664826052909182</v>
      </c>
      <c r="E407">
        <v>0.387266771115226</v>
      </c>
      <c r="F407">
        <v>0.989517439916295</v>
      </c>
      <c r="G407">
        <v>0.906717472665393</v>
      </c>
      <c r="H407">
        <v>0.981364386048745</v>
      </c>
      <c r="I407">
        <v>0.794922737306843</v>
      </c>
      <c r="J407">
        <v>0.737427215616796</v>
      </c>
      <c r="K407">
        <v>0.99138807790407</v>
      </c>
      <c r="L407">
        <v>0.100087497569513</v>
      </c>
      <c r="M407">
        <v>0.0060208407903469</v>
      </c>
      <c r="N407">
        <v>0.363289032554309</v>
      </c>
    </row>
    <row r="408" spans="1:14">
      <c r="A408" t="s">
        <v>36</v>
      </c>
      <c r="B408">
        <v>2009</v>
      </c>
      <c r="C408">
        <v>0.911492568479939</v>
      </c>
      <c r="D408">
        <v>0.691467968713695</v>
      </c>
      <c r="E408">
        <v>0.232445520581114</v>
      </c>
      <c r="F408">
        <v>0.992276668491078</v>
      </c>
      <c r="G408">
        <v>0.844340671558817</v>
      </c>
      <c r="H408">
        <v>0.977421625815836</v>
      </c>
      <c r="I408">
        <v>0.788079470198676</v>
      </c>
      <c r="J408">
        <v>0.732357621557298</v>
      </c>
      <c r="K408">
        <v>0.994189546537686</v>
      </c>
      <c r="L408">
        <v>0.0896061543215804</v>
      </c>
      <c r="M408">
        <v>0.00595115513305123</v>
      </c>
      <c r="N408">
        <v>0.30470931710904</v>
      </c>
    </row>
    <row r="409" spans="1:14">
      <c r="A409" t="s">
        <v>36</v>
      </c>
      <c r="B409">
        <v>2010</v>
      </c>
      <c r="C409">
        <v>0.895389604909858</v>
      </c>
      <c r="D409">
        <v>0.634450174922357</v>
      </c>
      <c r="E409">
        <v>0.250106822389973</v>
      </c>
      <c r="F409">
        <v>0.992805906239275</v>
      </c>
      <c r="G409">
        <v>0.857929978010032</v>
      </c>
      <c r="H409">
        <v>0.986884250374818</v>
      </c>
      <c r="I409">
        <v>0.758719646799117</v>
      </c>
      <c r="J409">
        <v>0.709262804175141</v>
      </c>
      <c r="K409">
        <v>0.984148045373831</v>
      </c>
      <c r="L409">
        <v>0.0894094684933575</v>
      </c>
      <c r="M409">
        <v>0.00591691373412685</v>
      </c>
      <c r="N409">
        <v>0.306091081503552</v>
      </c>
    </row>
    <row r="410" spans="1:14">
      <c r="A410" t="s">
        <v>36</v>
      </c>
      <c r="B410">
        <v>2011</v>
      </c>
      <c r="C410">
        <v>0.880989855243446</v>
      </c>
      <c r="D410">
        <v>0.41321229188107</v>
      </c>
      <c r="E410">
        <v>0.0912975359635379</v>
      </c>
      <c r="F410">
        <v>0.992985008205926</v>
      </c>
      <c r="G410">
        <v>0.835869415589229</v>
      </c>
      <c r="H410">
        <v>0.979787281955581</v>
      </c>
      <c r="I410">
        <v>0.688300220750552</v>
      </c>
      <c r="J410">
        <v>0.653457034647175</v>
      </c>
      <c r="K410">
        <v>0.974060475614668</v>
      </c>
      <c r="L410">
        <v>0.102230820385708</v>
      </c>
      <c r="M410">
        <v>0.00873527935826275</v>
      </c>
      <c r="N410">
        <v>0.23509698912099</v>
      </c>
    </row>
    <row r="411" spans="1:14">
      <c r="A411" t="s">
        <v>36</v>
      </c>
      <c r="B411">
        <v>2012</v>
      </c>
      <c r="C411">
        <v>0.869284207692308</v>
      </c>
      <c r="D411">
        <v>0.442243691142608</v>
      </c>
      <c r="E411">
        <v>0.111807434838342</v>
      </c>
      <c r="F411">
        <v>0.993449466076001</v>
      </c>
      <c r="G411">
        <v>0.862467553408433</v>
      </c>
      <c r="H411">
        <v>0.980575834002163</v>
      </c>
      <c r="I411">
        <v>0.683222958057395</v>
      </c>
      <c r="J411">
        <v>0.660980955989446</v>
      </c>
      <c r="K411">
        <v>0.977519044280013</v>
      </c>
      <c r="L411">
        <v>0.110510694583347</v>
      </c>
      <c r="M411">
        <v>0.00609105305679431</v>
      </c>
      <c r="N411">
        <v>0.24371120876691</v>
      </c>
    </row>
    <row r="412" spans="1:14">
      <c r="A412" t="s">
        <v>36</v>
      </c>
      <c r="B412">
        <v>2013</v>
      </c>
      <c r="C412">
        <v>0.855840579710145</v>
      </c>
      <c r="D412">
        <v>0.46534166848508</v>
      </c>
      <c r="E412">
        <v>0.0770545506338128</v>
      </c>
      <c r="F412">
        <v>0.991125933380752</v>
      </c>
      <c r="G412">
        <v>0.866290170458467</v>
      </c>
      <c r="H412">
        <v>0.9876728024214</v>
      </c>
      <c r="I412">
        <v>0.62496357615894</v>
      </c>
      <c r="J412">
        <v>0.643130284959602</v>
      </c>
      <c r="K412">
        <v>0.962067630496386</v>
      </c>
      <c r="L412">
        <v>0.0967910344682273</v>
      </c>
      <c r="M412">
        <v>0.00425316120065403</v>
      </c>
      <c r="N412">
        <v>0.22531032949057</v>
      </c>
    </row>
    <row r="413" spans="1:14">
      <c r="A413" t="s">
        <v>36</v>
      </c>
      <c r="B413">
        <v>2014</v>
      </c>
      <c r="C413">
        <v>0.846089743589744</v>
      </c>
      <c r="D413">
        <v>0.482817258764169</v>
      </c>
      <c r="E413">
        <v>0.0499928785073352</v>
      </c>
      <c r="F413">
        <v>0.991591985891431</v>
      </c>
      <c r="G413">
        <v>0.8738996729527</v>
      </c>
      <c r="H413">
        <v>0.976633073769254</v>
      </c>
      <c r="I413">
        <v>0.558918322295806</v>
      </c>
      <c r="J413">
        <v>0.600633563352976</v>
      </c>
      <c r="K413">
        <v>0.948639073053748</v>
      </c>
      <c r="L413">
        <v>0.093123017114259</v>
      </c>
      <c r="M413">
        <v>0.00386733527415513</v>
      </c>
      <c r="N413">
        <v>0.207975872364026</v>
      </c>
    </row>
    <row r="414" spans="1:14">
      <c r="A414" t="s">
        <v>36</v>
      </c>
      <c r="B414">
        <v>2015</v>
      </c>
      <c r="C414">
        <v>0.835456790123457</v>
      </c>
      <c r="D414">
        <v>0.49305879189819</v>
      </c>
      <c r="E414">
        <v>0.031761857285287</v>
      </c>
      <c r="F414">
        <v>0.992410072010615</v>
      </c>
      <c r="G414">
        <v>0.914005170113409</v>
      </c>
      <c r="H414">
        <v>0.965593345117108</v>
      </c>
      <c r="I414">
        <v>0.508444812362031</v>
      </c>
      <c r="J414">
        <v>0.607428942899915</v>
      </c>
      <c r="K414">
        <v>0.931164802929133</v>
      </c>
      <c r="L414">
        <v>0.0701836920805409</v>
      </c>
      <c r="M414">
        <v>0.00332992634644786</v>
      </c>
      <c r="N414">
        <v>0.199415391244102</v>
      </c>
    </row>
    <row r="415" spans="1:14">
      <c r="A415" t="s">
        <v>36</v>
      </c>
      <c r="B415">
        <v>2016</v>
      </c>
      <c r="C415">
        <v>0.828559735283874</v>
      </c>
      <c r="D415">
        <v>0.541186646895556</v>
      </c>
      <c r="E415">
        <v>0.0378863409770687</v>
      </c>
      <c r="F415">
        <v>0.994582534279321</v>
      </c>
      <c r="G415">
        <v>0.683816989103847</v>
      </c>
      <c r="H415">
        <v>0.982941490141909</v>
      </c>
      <c r="I415">
        <v>0.426827814569537</v>
      </c>
      <c r="J415">
        <v>0.515640120139723</v>
      </c>
      <c r="K415">
        <v>0.92178195816847</v>
      </c>
      <c r="L415">
        <v>0.0434782608695653</v>
      </c>
      <c r="M415">
        <v>0</v>
      </c>
      <c r="N415">
        <v>0.176930018022134</v>
      </c>
    </row>
    <row r="416" spans="1:14">
      <c r="A416" t="s">
        <v>36</v>
      </c>
      <c r="B416">
        <v>2017</v>
      </c>
      <c r="C416">
        <v>0.820618998628258</v>
      </c>
      <c r="D416">
        <v>0.548706956642967</v>
      </c>
      <c r="E416">
        <v>0.0239282153539383</v>
      </c>
      <c r="F416">
        <v>0.994883135343475</v>
      </c>
      <c r="G416">
        <v>0.639103664738241</v>
      </c>
      <c r="H416">
        <v>0.949822304185471</v>
      </c>
      <c r="I416">
        <v>0.388374613686534</v>
      </c>
      <c r="J416">
        <v>0.490939649661277</v>
      </c>
      <c r="K416">
        <v>0.918054656030493</v>
      </c>
      <c r="L416">
        <v>0.0294117647058825</v>
      </c>
      <c r="M416">
        <v>0</v>
      </c>
      <c r="N416">
        <v>0.164608992790305</v>
      </c>
    </row>
    <row r="417" spans="1:14">
      <c r="A417" t="s">
        <v>36</v>
      </c>
      <c r="B417">
        <v>2018</v>
      </c>
      <c r="C417">
        <v>0.80963849287169</v>
      </c>
      <c r="D417">
        <v>0.55123456533794</v>
      </c>
      <c r="E417">
        <v>0.0464503631961259</v>
      </c>
      <c r="F417">
        <v>0.995475220618065</v>
      </c>
      <c r="G417">
        <v>0.645023287696385</v>
      </c>
      <c r="H417">
        <v>0.927522052308137</v>
      </c>
      <c r="I417">
        <v>0.344286313465784</v>
      </c>
      <c r="J417">
        <v>0.38851276658571</v>
      </c>
      <c r="K417">
        <v>0.900010811593764</v>
      </c>
      <c r="L417">
        <v>0.0124688279301749</v>
      </c>
      <c r="M417">
        <v>0</v>
      </c>
      <c r="N417">
        <v>0.161018483429425</v>
      </c>
    </row>
    <row r="418" spans="1:14">
      <c r="A418" t="s">
        <v>36</v>
      </c>
      <c r="B418">
        <v>2019</v>
      </c>
      <c r="C418">
        <v>0.796038525963149</v>
      </c>
      <c r="D418">
        <v>0.526052785886773</v>
      </c>
      <c r="E418">
        <v>0.0323099273607748</v>
      </c>
      <c r="F418">
        <v>0.994574177883873</v>
      </c>
      <c r="G418">
        <v>0.614235577341415</v>
      </c>
      <c r="H418">
        <v>0.919849661689468</v>
      </c>
      <c r="I418">
        <v>0.307614569536424</v>
      </c>
      <c r="J418">
        <v>0.322641599696726</v>
      </c>
      <c r="K418">
        <v>0.86451879795829</v>
      </c>
      <c r="L418">
        <v>0.0198019801980204</v>
      </c>
      <c r="M418">
        <v>0</v>
      </c>
      <c r="N418">
        <v>0.145397343348797</v>
      </c>
    </row>
    <row r="419" spans="1:14">
      <c r="A419" t="s">
        <v>36</v>
      </c>
      <c r="B419">
        <v>2020</v>
      </c>
      <c r="C419">
        <v>0.794945652173913</v>
      </c>
      <c r="D419">
        <v>0.486275112700293</v>
      </c>
      <c r="E419">
        <v>0.0149551345962113</v>
      </c>
      <c r="F419">
        <v>0.994588596376521</v>
      </c>
      <c r="G419">
        <v>0.617561132709162</v>
      </c>
      <c r="H419">
        <v>0.951192694847946</v>
      </c>
      <c r="I419">
        <v>0.291390728476821</v>
      </c>
      <c r="J419">
        <v>0.315604801967775</v>
      </c>
      <c r="K419">
        <v>0.872377540024167</v>
      </c>
      <c r="L419">
        <v>0.0149253731343291</v>
      </c>
      <c r="M419">
        <v>0</v>
      </c>
      <c r="N419">
        <v>0.13719093287704</v>
      </c>
    </row>
    <row r="420" spans="1:14">
      <c r="A420" t="s">
        <v>36</v>
      </c>
      <c r="B420">
        <v>2021</v>
      </c>
      <c r="C420">
        <v>0.773014705882353</v>
      </c>
      <c r="D420">
        <v>0.424706159126135</v>
      </c>
      <c r="E420">
        <v>0.00824811280444377</v>
      </c>
      <c r="F420">
        <v>0.994410058455887</v>
      </c>
      <c r="G420">
        <v>0.649382623368691</v>
      </c>
      <c r="H420">
        <v>0.990379662739475</v>
      </c>
      <c r="I420">
        <v>0.225165562913907</v>
      </c>
      <c r="J420">
        <v>0.239158542340425</v>
      </c>
      <c r="K420">
        <v>0.846605688724462</v>
      </c>
      <c r="L420">
        <v>0.00502512562814085</v>
      </c>
      <c r="M420">
        <v>2.01639138625735e-5</v>
      </c>
      <c r="N420">
        <v>0.123803005867431</v>
      </c>
    </row>
    <row r="421" spans="1:14">
      <c r="A421" t="s">
        <v>36</v>
      </c>
      <c r="B421">
        <v>2022</v>
      </c>
      <c r="C421">
        <v>0.768995456020773</v>
      </c>
      <c r="D421">
        <v>0.394490689892354</v>
      </c>
      <c r="E421">
        <v>0.00662441247685524</v>
      </c>
      <c r="F421">
        <v>0.995027710703393</v>
      </c>
      <c r="G421">
        <v>0.650380731229174</v>
      </c>
      <c r="H421">
        <v>0.917656401601171</v>
      </c>
      <c r="I421">
        <v>0.229191832229581</v>
      </c>
      <c r="J421">
        <v>0.231721850203876</v>
      </c>
      <c r="K421">
        <v>0.836618453045622</v>
      </c>
      <c r="L421">
        <v>0</v>
      </c>
      <c r="M421">
        <v>0</v>
      </c>
      <c r="N421">
        <v>0.121147952243027</v>
      </c>
    </row>
    <row r="422" spans="1:14">
      <c r="A422" t="s">
        <v>37</v>
      </c>
      <c r="B422">
        <v>2003</v>
      </c>
      <c r="C422">
        <v>0.945084920918064</v>
      </c>
      <c r="D422">
        <v>0.890369270735648</v>
      </c>
      <c r="E422">
        <v>0.576898305084746</v>
      </c>
      <c r="F422">
        <v>0.990190750412992</v>
      </c>
      <c r="G422">
        <v>0.805162834754019</v>
      </c>
      <c r="H422">
        <v>0.980772262316967</v>
      </c>
      <c r="I422">
        <v>0.315673289183223</v>
      </c>
      <c r="J422">
        <v>0.490344857526502</v>
      </c>
      <c r="K422">
        <v>0.996541431334655</v>
      </c>
      <c r="L422">
        <v>0.999793812721806</v>
      </c>
      <c r="M422">
        <v>0.281078233143861</v>
      </c>
      <c r="N422">
        <v>0.496688449380422</v>
      </c>
    </row>
    <row r="423" spans="1:14">
      <c r="A423" t="s">
        <v>37</v>
      </c>
      <c r="B423">
        <v>2004</v>
      </c>
      <c r="C423">
        <v>0.938069260233918</v>
      </c>
      <c r="D423">
        <v>0.883891987092665</v>
      </c>
      <c r="E423">
        <v>0.519614299957271</v>
      </c>
      <c r="F423">
        <v>0.988518819407573</v>
      </c>
      <c r="G423">
        <v>0.720770467384995</v>
      </c>
      <c r="H423">
        <v>0.97525436937101</v>
      </c>
      <c r="I423">
        <v>0.227373068432671</v>
      </c>
      <c r="J423">
        <v>0.369640237062265</v>
      </c>
      <c r="K423">
        <v>0.99250638267937</v>
      </c>
      <c r="L423">
        <v>0.999548529890194</v>
      </c>
      <c r="M423">
        <v>0.283507661075282</v>
      </c>
      <c r="N423">
        <v>0.45749093326554</v>
      </c>
    </row>
    <row r="424" spans="1:14">
      <c r="A424" t="s">
        <v>37</v>
      </c>
      <c r="B424">
        <v>2005</v>
      </c>
      <c r="C424">
        <v>0.928965043245175</v>
      </c>
      <c r="D424">
        <v>0.864387976983021</v>
      </c>
      <c r="E424">
        <v>0.443808004557755</v>
      </c>
      <c r="F424">
        <v>0.987419857571191</v>
      </c>
      <c r="G424">
        <v>0.744283374917176</v>
      </c>
      <c r="H424">
        <v>0.952187960325217</v>
      </c>
      <c r="I424">
        <v>0.227373068432671</v>
      </c>
      <c r="J424">
        <v>0.369640237062265</v>
      </c>
      <c r="K424">
        <v>0.986165621580522</v>
      </c>
      <c r="L424">
        <v>0.999402658471489</v>
      </c>
      <c r="M424">
        <v>0.283001035519394</v>
      </c>
      <c r="N424">
        <v>0.430569796860853</v>
      </c>
    </row>
    <row r="425" spans="1:14">
      <c r="A425" t="s">
        <v>37</v>
      </c>
      <c r="B425">
        <v>2006</v>
      </c>
      <c r="C425">
        <v>0.917508153905508</v>
      </c>
      <c r="D425">
        <v>0.847551565566387</v>
      </c>
      <c r="E425">
        <v>0.344110525566159</v>
      </c>
      <c r="F425">
        <v>0.987587711780425</v>
      </c>
      <c r="G425">
        <v>0.809561622396477</v>
      </c>
      <c r="H425">
        <v>0.909606149809797</v>
      </c>
      <c r="I425">
        <v>0.161147902869757</v>
      </c>
      <c r="J425">
        <v>0.298585450482317</v>
      </c>
      <c r="K425">
        <v>0.98501276535874</v>
      </c>
      <c r="L425">
        <v>0.999048456625481</v>
      </c>
      <c r="M425">
        <v>0.271006449135871</v>
      </c>
      <c r="N425">
        <v>0.383253920841549</v>
      </c>
    </row>
    <row r="426" spans="1:14">
      <c r="A426" t="s">
        <v>37</v>
      </c>
      <c r="B426">
        <v>2007</v>
      </c>
      <c r="C426">
        <v>0.908806174242424</v>
      </c>
      <c r="D426">
        <v>0.834775833960092</v>
      </c>
      <c r="E426">
        <v>0.165218629824811</v>
      </c>
      <c r="F426">
        <v>0.989358955097721</v>
      </c>
      <c r="G426">
        <v>0.786743074618051</v>
      </c>
      <c r="H426">
        <v>0.913548910042706</v>
      </c>
      <c r="I426">
        <v>0.252097130242826</v>
      </c>
      <c r="J426">
        <v>0.366421447183219</v>
      </c>
      <c r="K426">
        <v>0.993659238901152</v>
      </c>
      <c r="L426">
        <v>0.998672255288391</v>
      </c>
      <c r="M426">
        <v>0.261106931462622</v>
      </c>
      <c r="N426">
        <v>0.326230134803854</v>
      </c>
    </row>
    <row r="427" spans="1:14">
      <c r="A427" t="s">
        <v>37</v>
      </c>
      <c r="B427">
        <v>2008</v>
      </c>
      <c r="C427">
        <v>0.902458745743807</v>
      </c>
      <c r="D427">
        <v>0.816461668514768</v>
      </c>
      <c r="E427">
        <v>0.13003845606039</v>
      </c>
      <c r="F427">
        <v>0.989497990545333</v>
      </c>
      <c r="G427">
        <v>0.709483741849405</v>
      </c>
      <c r="H427">
        <v>0.92380008664827</v>
      </c>
      <c r="I427">
        <v>0.272406181015453</v>
      </c>
      <c r="J427">
        <v>0.375876642452917</v>
      </c>
      <c r="K427">
        <v>0.990246738831115</v>
      </c>
      <c r="L427">
        <v>0.997993717701895</v>
      </c>
      <c r="M427">
        <v>0.280725148086728</v>
      </c>
      <c r="N427">
        <v>0.318419330614721</v>
      </c>
    </row>
    <row r="428" spans="1:14">
      <c r="A428" t="s">
        <v>37</v>
      </c>
      <c r="B428">
        <v>2009</v>
      </c>
      <c r="C428">
        <v>0.893265374373324</v>
      </c>
      <c r="D428">
        <v>0.815063191398928</v>
      </c>
      <c r="E428">
        <v>0.116365190143854</v>
      </c>
      <c r="F428">
        <v>0.989064358413233</v>
      </c>
      <c r="G428">
        <v>0.711435530663853</v>
      </c>
      <c r="H428">
        <v>0.909606149809797</v>
      </c>
      <c r="I428">
        <v>0.26644591611479</v>
      </c>
      <c r="J428">
        <v>0.391930356974661</v>
      </c>
      <c r="K428">
        <v>0.984436285368801</v>
      </c>
      <c r="L428">
        <v>0.995074378152309</v>
      </c>
      <c r="M428">
        <v>0.287753650084995</v>
      </c>
      <c r="N428">
        <v>0.316417091224959</v>
      </c>
    </row>
    <row r="429" spans="1:14">
      <c r="A429" t="s">
        <v>37</v>
      </c>
      <c r="B429">
        <v>2010</v>
      </c>
      <c r="C429">
        <v>0.875870063547083</v>
      </c>
      <c r="D429">
        <v>0.790972942566252</v>
      </c>
      <c r="E429">
        <v>0.113659022931206</v>
      </c>
      <c r="F429">
        <v>0.988518756335586</v>
      </c>
      <c r="G429">
        <v>0.696639865173273</v>
      </c>
      <c r="H429">
        <v>0.90645194162347</v>
      </c>
      <c r="I429">
        <v>0.245695364238411</v>
      </c>
      <c r="J429">
        <v>0.362880778316268</v>
      </c>
      <c r="K429">
        <v>0.974636955604608</v>
      </c>
      <c r="L429">
        <v>0.991821208014625</v>
      </c>
      <c r="M429">
        <v>0.261991095715275</v>
      </c>
      <c r="N429">
        <v>0.30076820875513</v>
      </c>
    </row>
    <row r="430" spans="1:14">
      <c r="A430" t="s">
        <v>37</v>
      </c>
      <c r="B430">
        <v>2011</v>
      </c>
      <c r="C430">
        <v>0.860766330785779</v>
      </c>
      <c r="D430">
        <v>0.776209124058971</v>
      </c>
      <c r="E430">
        <v>0.099273607748184</v>
      </c>
      <c r="F430">
        <v>0.98787404200979</v>
      </c>
      <c r="G430">
        <v>0.724535458095659</v>
      </c>
      <c r="H430">
        <v>0.886738140458924</v>
      </c>
      <c r="I430">
        <v>0.290286975717439</v>
      </c>
      <c r="J430">
        <v>0.338900793717373</v>
      </c>
      <c r="K430">
        <v>0.955614568549966</v>
      </c>
      <c r="L430">
        <v>0.986715274680525</v>
      </c>
      <c r="M430">
        <v>0.0970811289989955</v>
      </c>
      <c r="N430">
        <v>0.238485957407076</v>
      </c>
    </row>
    <row r="431" spans="1:14">
      <c r="A431" t="s">
        <v>37</v>
      </c>
      <c r="B431">
        <v>2012</v>
      </c>
      <c r="C431">
        <v>0.861065130980392</v>
      </c>
      <c r="D431">
        <v>0.745738984426895</v>
      </c>
      <c r="E431">
        <v>0.0951431420025638</v>
      </c>
      <c r="F431">
        <v>0.986465203081262</v>
      </c>
      <c r="G431">
        <v>0.614002265983538</v>
      </c>
      <c r="H431">
        <v>0.832328049244776</v>
      </c>
      <c r="I431">
        <v>0.294481236203091</v>
      </c>
      <c r="J431">
        <v>0.316530204058001</v>
      </c>
      <c r="K431">
        <v>0.946391615017615</v>
      </c>
      <c r="L431">
        <v>0.978782953703482</v>
      </c>
      <c r="M431">
        <v>0.0950307976988353</v>
      </c>
      <c r="N431">
        <v>0.22779316393133</v>
      </c>
    </row>
    <row r="432" spans="1:14">
      <c r="A432" t="s">
        <v>37</v>
      </c>
      <c r="B432">
        <v>2013</v>
      </c>
      <c r="C432">
        <v>0.845644304217868</v>
      </c>
      <c r="D432">
        <v>0.745122651490749</v>
      </c>
      <c r="E432">
        <v>0.0984190286284004</v>
      </c>
      <c r="F432">
        <v>0.986791069542043</v>
      </c>
      <c r="G432">
        <v>0.69692146710328</v>
      </c>
      <c r="H432">
        <v>0.841002121757177</v>
      </c>
      <c r="I432">
        <v>0.288022148638704</v>
      </c>
      <c r="J432">
        <v>0.316227436635003</v>
      </c>
      <c r="K432">
        <v>0.934385143002523</v>
      </c>
      <c r="L432">
        <v>0.964680121235132</v>
      </c>
      <c r="M432">
        <v>0.0909522766987066</v>
      </c>
      <c r="N432">
        <v>0.230349333422173</v>
      </c>
    </row>
    <row r="433" spans="1:14">
      <c r="A433" t="s">
        <v>37</v>
      </c>
      <c r="B433">
        <v>2014</v>
      </c>
      <c r="C433">
        <v>0.837122905027933</v>
      </c>
      <c r="D433">
        <v>0.713275109255832</v>
      </c>
      <c r="E433">
        <v>0.0816123059393249</v>
      </c>
      <c r="F433">
        <v>0.988321802612084</v>
      </c>
      <c r="G433">
        <v>0.639225358943549</v>
      </c>
      <c r="H433">
        <v>0.832328049244776</v>
      </c>
      <c r="I433">
        <v>0.272139857738534</v>
      </c>
      <c r="J433">
        <v>0.301217615905908</v>
      </c>
      <c r="K433">
        <v>0.923063854877561</v>
      </c>
      <c r="L433">
        <v>0.956643245170627</v>
      </c>
      <c r="M433">
        <v>0.0880830725482203</v>
      </c>
      <c r="N433">
        <v>0.216865936077849</v>
      </c>
    </row>
    <row r="434" spans="1:14">
      <c r="A434" t="s">
        <v>37</v>
      </c>
      <c r="B434">
        <v>2015</v>
      </c>
      <c r="C434">
        <v>0.83706568946797</v>
      </c>
      <c r="D434">
        <v>0.692330793611221</v>
      </c>
      <c r="E434">
        <v>0.066372311636519</v>
      </c>
      <c r="F434">
        <v>0.988487258704742</v>
      </c>
      <c r="G434">
        <v>0.658630399768708</v>
      </c>
      <c r="H434">
        <v>0.82128832059263</v>
      </c>
      <c r="I434">
        <v>0.275103973509934</v>
      </c>
      <c r="J434">
        <v>0.315621901789007</v>
      </c>
      <c r="K434">
        <v>0.910372198972338</v>
      </c>
      <c r="L434">
        <v>0.948137323977311</v>
      </c>
      <c r="M434">
        <v>0.115549768152986</v>
      </c>
      <c r="N434">
        <v>0.222349012267942</v>
      </c>
    </row>
    <row r="435" spans="1:14">
      <c r="A435" t="s">
        <v>37</v>
      </c>
      <c r="B435">
        <v>2016</v>
      </c>
      <c r="C435">
        <v>0.829970525187567</v>
      </c>
      <c r="D435">
        <v>0.693022971997079</v>
      </c>
      <c r="E435">
        <v>0.0554052129326307</v>
      </c>
      <c r="F435">
        <v>0.988461762870388</v>
      </c>
      <c r="G435">
        <v>0.630793393741264</v>
      </c>
      <c r="H435">
        <v>0.87648696385336</v>
      </c>
      <c r="I435">
        <v>0.24037527593819</v>
      </c>
      <c r="J435">
        <v>0.271197974447717</v>
      </c>
      <c r="K435">
        <v>0.900421278627637</v>
      </c>
      <c r="L435">
        <v>0.941272245361606</v>
      </c>
      <c r="M435">
        <v>0.0295198726412039</v>
      </c>
      <c r="N435">
        <v>0.180930002525228</v>
      </c>
    </row>
    <row r="436" spans="1:14">
      <c r="A436" t="s">
        <v>37</v>
      </c>
      <c r="B436">
        <v>2017</v>
      </c>
      <c r="C436">
        <v>0.818717663273961</v>
      </c>
      <c r="D436">
        <v>0.67621673275419</v>
      </c>
      <c r="E436">
        <v>0.0517020367469021</v>
      </c>
      <c r="F436">
        <v>0.986622698348168</v>
      </c>
      <c r="G436">
        <v>0.64212730541131</v>
      </c>
      <c r="H436">
        <v>0.888315244552087</v>
      </c>
      <c r="I436">
        <v>0.221813465783664</v>
      </c>
      <c r="J436">
        <v>0.26006711740186</v>
      </c>
      <c r="K436">
        <v>0.90135676163507</v>
      </c>
      <c r="L436">
        <v>0.93617677286742</v>
      </c>
      <c r="M436">
        <v>0.0284041820200764</v>
      </c>
      <c r="N436">
        <v>0.177096365452685</v>
      </c>
    </row>
    <row r="437" spans="1:14">
      <c r="A437" t="s">
        <v>37</v>
      </c>
      <c r="B437">
        <v>2018</v>
      </c>
      <c r="C437">
        <v>0.797756876383181</v>
      </c>
      <c r="D437">
        <v>0.669341881764172</v>
      </c>
      <c r="E437">
        <v>0.037193134881071</v>
      </c>
      <c r="F437">
        <v>0.986221876721693</v>
      </c>
      <c r="G437">
        <v>0.684395354099229</v>
      </c>
      <c r="H437">
        <v>0.897768406486511</v>
      </c>
      <c r="I437">
        <v>0.205032008830022</v>
      </c>
      <c r="J437">
        <v>0.157437209154673</v>
      </c>
      <c r="K437">
        <v>0.813505506753511</v>
      </c>
      <c r="L437">
        <v>0.931975847893114</v>
      </c>
      <c r="M437">
        <v>0.00962522483875308</v>
      </c>
      <c r="N437">
        <v>0.155862830693247</v>
      </c>
    </row>
    <row r="438" spans="1:14">
      <c r="A438" t="s">
        <v>37</v>
      </c>
      <c r="B438">
        <v>2019</v>
      </c>
      <c r="C438">
        <v>0.791990798828942</v>
      </c>
      <c r="D438">
        <v>0.663485979614584</v>
      </c>
      <c r="E438">
        <v>0.037648340692209</v>
      </c>
      <c r="F438">
        <v>0.985390178870066</v>
      </c>
      <c r="G438">
        <v>0.682054045882805</v>
      </c>
      <c r="H438">
        <v>0.903560043698334</v>
      </c>
      <c r="I438">
        <v>0.2049353200883</v>
      </c>
      <c r="J438">
        <v>0.120933677599005</v>
      </c>
      <c r="K438">
        <v>0.770918203133868</v>
      </c>
      <c r="L438">
        <v>0.929289229735941</v>
      </c>
      <c r="M438">
        <v>0.00979812517639879</v>
      </c>
      <c r="N438">
        <v>0.151947695721594</v>
      </c>
    </row>
    <row r="439" spans="1:14">
      <c r="A439" t="s">
        <v>37</v>
      </c>
      <c r="B439">
        <v>2020</v>
      </c>
      <c r="C439">
        <v>0.788720265918771</v>
      </c>
      <c r="D439">
        <v>0.65589562350713</v>
      </c>
      <c r="E439">
        <v>0.0546930636661445</v>
      </c>
      <c r="F439">
        <v>0.986257931323184</v>
      </c>
      <c r="G439">
        <v>0.642533493057499</v>
      </c>
      <c r="H439">
        <v>0.884586854697483</v>
      </c>
      <c r="I439">
        <v>0.194260485651214</v>
      </c>
      <c r="J439">
        <v>0.112016342118095</v>
      </c>
      <c r="K439">
        <v>0.7655066995566</v>
      </c>
      <c r="L439">
        <v>0.931684040522684</v>
      </c>
      <c r="M439">
        <v>0.032890522986459</v>
      </c>
      <c r="N439">
        <v>0.162317445428911</v>
      </c>
    </row>
    <row r="440" spans="1:14">
      <c r="A440" t="s">
        <v>37</v>
      </c>
      <c r="B440">
        <v>2021</v>
      </c>
      <c r="C440">
        <v>0.76133094645081</v>
      </c>
      <c r="D440">
        <v>0.566669052767929</v>
      </c>
      <c r="E440">
        <v>0.0257826520438683</v>
      </c>
      <c r="F440">
        <v>0.985621004980687</v>
      </c>
      <c r="G440">
        <v>0.681791951280403</v>
      </c>
      <c r="H440">
        <v>0.866642174877924</v>
      </c>
      <c r="I440">
        <v>0.196467991169978</v>
      </c>
      <c r="J440">
        <v>0.0689650274858502</v>
      </c>
      <c r="K440">
        <v>0.737948445091526</v>
      </c>
      <c r="L440">
        <v>0.935086797897913</v>
      </c>
      <c r="M440">
        <v>0.0141767631997424</v>
      </c>
      <c r="N440">
        <v>0.140894960757525</v>
      </c>
    </row>
    <row r="441" spans="1:14">
      <c r="A441" t="s">
        <v>37</v>
      </c>
      <c r="B441">
        <v>2022</v>
      </c>
      <c r="C441">
        <v>0.750196078431373</v>
      </c>
      <c r="D441">
        <v>0.566770654309402</v>
      </c>
      <c r="E441">
        <v>0.0168708161230594</v>
      </c>
      <c r="F441">
        <v>0.985228981912582</v>
      </c>
      <c r="G441">
        <v>0.687188027807304</v>
      </c>
      <c r="H441">
        <v>0.841457238270498</v>
      </c>
      <c r="I441">
        <v>0.202589845474614</v>
      </c>
      <c r="J441">
        <v>0.063879580886198</v>
      </c>
      <c r="K441">
        <v>0.718285144268372</v>
      </c>
      <c r="L441">
        <v>0.948962832490094</v>
      </c>
      <c r="M441">
        <v>0.014526019534173</v>
      </c>
      <c r="N441">
        <v>0.137534694798016</v>
      </c>
    </row>
    <row r="442" spans="1:14">
      <c r="A442" t="s">
        <v>38</v>
      </c>
      <c r="B442">
        <v>2003</v>
      </c>
      <c r="C442">
        <v>0.946874714611872</v>
      </c>
      <c r="D442">
        <v>0.902370519524047</v>
      </c>
      <c r="E442">
        <v>0.29559265061957</v>
      </c>
      <c r="F442">
        <v>0.97476724207134</v>
      </c>
      <c r="G442">
        <v>0.395596242737136</v>
      </c>
      <c r="H442">
        <v>0.963238492140401</v>
      </c>
      <c r="I442">
        <v>0.466666666666667</v>
      </c>
      <c r="J442">
        <v>0.773839776123508</v>
      </c>
      <c r="K442">
        <v>0.995590280854494</v>
      </c>
      <c r="L442">
        <v>0.996800870508047</v>
      </c>
      <c r="M442">
        <v>0.0981343850986687</v>
      </c>
      <c r="N442">
        <v>0.343532226132812</v>
      </c>
    </row>
    <row r="443" spans="1:14">
      <c r="A443" t="s">
        <v>38</v>
      </c>
      <c r="B443">
        <v>2004</v>
      </c>
      <c r="C443">
        <v>0.93943976736712</v>
      </c>
      <c r="D443">
        <v>0.893458317888621</v>
      </c>
      <c r="E443">
        <v>0.259991739068509</v>
      </c>
      <c r="F443">
        <v>0.975134906100433</v>
      </c>
      <c r="G443">
        <v>0.369807287620623</v>
      </c>
      <c r="H443">
        <v>0.923623056713813</v>
      </c>
      <c r="I443">
        <v>0.429359823399559</v>
      </c>
      <c r="J443">
        <v>0.689628185912958</v>
      </c>
      <c r="K443">
        <v>0.995071490366787</v>
      </c>
      <c r="L443">
        <v>0.996577293494772</v>
      </c>
      <c r="M443">
        <v>0.105505373770425</v>
      </c>
      <c r="N443">
        <v>0.322595653418931</v>
      </c>
    </row>
    <row r="444" spans="1:14">
      <c r="A444" t="s">
        <v>38</v>
      </c>
      <c r="B444">
        <v>2005</v>
      </c>
      <c r="C444">
        <v>0.934382878977918</v>
      </c>
      <c r="D444">
        <v>0.883483163543757</v>
      </c>
      <c r="E444">
        <v>0.25360390257798</v>
      </c>
      <c r="F444">
        <v>0.97590841996913</v>
      </c>
      <c r="G444">
        <v>0.365378295461478</v>
      </c>
      <c r="H444">
        <v>0.880429724086269</v>
      </c>
      <c r="I444">
        <v>0.429359823399559</v>
      </c>
      <c r="J444">
        <v>0.689628185912958</v>
      </c>
      <c r="K444">
        <v>0.990921166465134</v>
      </c>
      <c r="L444">
        <v>0.994785041261274</v>
      </c>
      <c r="M444">
        <v>0.0995550277104294</v>
      </c>
      <c r="N444">
        <v>0.317120459704658</v>
      </c>
    </row>
    <row r="445" spans="1:14">
      <c r="A445" t="s">
        <v>38</v>
      </c>
      <c r="B445">
        <v>2006</v>
      </c>
      <c r="C445">
        <v>0.925860480719795</v>
      </c>
      <c r="D445">
        <v>0.861202332839223</v>
      </c>
      <c r="E445">
        <v>0.401367326591654</v>
      </c>
      <c r="F445">
        <v>0.979425398459546</v>
      </c>
      <c r="G445">
        <v>0.388973179759957</v>
      </c>
      <c r="H445">
        <v>0.815768456266558</v>
      </c>
      <c r="I445">
        <v>0.396026490066225</v>
      </c>
      <c r="J445">
        <v>0.651324586352307</v>
      </c>
      <c r="K445">
        <v>0.987289633051187</v>
      </c>
      <c r="L445">
        <v>0.993535348196728</v>
      </c>
      <c r="M445">
        <v>0.10070849376827</v>
      </c>
      <c r="N445">
        <v>0.364545780553804</v>
      </c>
    </row>
    <row r="446" spans="1:14">
      <c r="A446" t="s">
        <v>38</v>
      </c>
      <c r="B446">
        <v>2007</v>
      </c>
      <c r="C446">
        <v>0.917172034740166</v>
      </c>
      <c r="D446">
        <v>0.852501851103074</v>
      </c>
      <c r="E446">
        <v>0.300242130750605</v>
      </c>
      <c r="F446">
        <v>0.974479555239967</v>
      </c>
      <c r="G446">
        <v>0.367441263180347</v>
      </c>
      <c r="H446">
        <v>0.772398093704556</v>
      </c>
      <c r="I446">
        <v>0.409050772626932</v>
      </c>
      <c r="J446">
        <v>0.706003779422606</v>
      </c>
      <c r="K446">
        <v>0.982879913905681</v>
      </c>
      <c r="L446">
        <v>0.992943403888167</v>
      </c>
      <c r="M446">
        <v>0.098698227322896</v>
      </c>
      <c r="N446">
        <v>0.330991600610095</v>
      </c>
    </row>
    <row r="447" spans="1:14">
      <c r="A447" t="s">
        <v>38</v>
      </c>
      <c r="B447">
        <v>2008</v>
      </c>
      <c r="C447">
        <v>0.914992260485787</v>
      </c>
      <c r="D447">
        <v>0.856917263620365</v>
      </c>
      <c r="E447">
        <v>0.269334852585102</v>
      </c>
      <c r="F447">
        <v>0.977291235165992</v>
      </c>
      <c r="G447">
        <v>0.323982978943891</v>
      </c>
      <c r="H447">
        <v>0.788169134636193</v>
      </c>
      <c r="I447">
        <v>0.473289183222958</v>
      </c>
      <c r="J447">
        <v>0.65188787458114</v>
      </c>
      <c r="K447">
        <v>0.984125011076177</v>
      </c>
      <c r="L447">
        <v>0.992030403945395</v>
      </c>
      <c r="M447">
        <v>0.113096811041677</v>
      </c>
      <c r="N447">
        <v>0.323496206436154</v>
      </c>
    </row>
    <row r="448" spans="1:14">
      <c r="A448" t="s">
        <v>38</v>
      </c>
      <c r="B448">
        <v>2009</v>
      </c>
      <c r="C448">
        <v>0.907484986764407</v>
      </c>
      <c r="D448">
        <v>0.83416797987873</v>
      </c>
      <c r="E448">
        <v>0.236718416180031</v>
      </c>
      <c r="F448">
        <v>0.981579565496503</v>
      </c>
      <c r="G448">
        <v>0.347391014299388</v>
      </c>
      <c r="H448">
        <v>0.729816283189136</v>
      </c>
      <c r="I448">
        <v>0.424061810154525</v>
      </c>
      <c r="J448">
        <v>0.604169314624278</v>
      </c>
      <c r="K448">
        <v>0.979248380491735</v>
      </c>
      <c r="L448">
        <v>0.990103125222138</v>
      </c>
      <c r="M448">
        <v>0.118729362077792</v>
      </c>
      <c r="N448">
        <v>0.306733033429363</v>
      </c>
    </row>
    <row r="449" spans="1:14">
      <c r="A449" t="s">
        <v>38</v>
      </c>
      <c r="B449">
        <v>2010</v>
      </c>
      <c r="C449">
        <v>0.889928052620675</v>
      </c>
      <c r="D449">
        <v>0.767151035619122</v>
      </c>
      <c r="E449">
        <v>0.222333000997009</v>
      </c>
      <c r="F449">
        <v>0.982438331377398</v>
      </c>
      <c r="G449">
        <v>0.331126854522733</v>
      </c>
      <c r="H449">
        <v>0.630458725319824</v>
      </c>
      <c r="I449">
        <v>0.373951434878587</v>
      </c>
      <c r="J449">
        <v>0.591736738716462</v>
      </c>
      <c r="K449">
        <v>0.967834989762189</v>
      </c>
      <c r="L449">
        <v>0.985434489367931</v>
      </c>
      <c r="M449">
        <v>0.123352022466943</v>
      </c>
      <c r="N449">
        <v>0.294869570793582</v>
      </c>
    </row>
    <row r="450" spans="1:14">
      <c r="A450" t="s">
        <v>38</v>
      </c>
      <c r="B450">
        <v>2011</v>
      </c>
      <c r="C450">
        <v>0.875838345630787</v>
      </c>
      <c r="D450">
        <v>0.794593271472511</v>
      </c>
      <c r="E450">
        <v>0.183876940606751</v>
      </c>
      <c r="F450">
        <v>0.98290067584834</v>
      </c>
      <c r="G450">
        <v>0.320494761720522</v>
      </c>
      <c r="H450">
        <v>0.575260082059095</v>
      </c>
      <c r="I450">
        <v>0.326931567328918</v>
      </c>
      <c r="J450">
        <v>0.546995559397718</v>
      </c>
      <c r="K450">
        <v>0.964462851592095</v>
      </c>
      <c r="L450">
        <v>0.978648065917981</v>
      </c>
      <c r="M450">
        <v>0.0464419644933127</v>
      </c>
      <c r="N450">
        <v>0.246518382030785</v>
      </c>
    </row>
    <row r="451" spans="1:14">
      <c r="A451" t="s">
        <v>38</v>
      </c>
      <c r="B451">
        <v>2012</v>
      </c>
      <c r="C451">
        <v>0.870556919191919</v>
      </c>
      <c r="D451">
        <v>0.79922069008395</v>
      </c>
      <c r="E451">
        <v>0.17148554336989</v>
      </c>
      <c r="F451">
        <v>0.984010519285796</v>
      </c>
      <c r="G451">
        <v>0.2738230685182</v>
      </c>
      <c r="H451">
        <v>0.439629130047017</v>
      </c>
      <c r="I451">
        <v>0.311258278145695</v>
      </c>
      <c r="J451">
        <v>0.51343967490866</v>
      </c>
      <c r="K451">
        <v>0.948639741717043</v>
      </c>
      <c r="L451">
        <v>0.972897041069577</v>
      </c>
      <c r="M451">
        <v>0.0446697281604567</v>
      </c>
      <c r="N451">
        <v>0.2337955208881</v>
      </c>
    </row>
    <row r="452" spans="1:14">
      <c r="A452" t="s">
        <v>38</v>
      </c>
      <c r="B452">
        <v>2013</v>
      </c>
      <c r="C452">
        <v>0.862599786245735</v>
      </c>
      <c r="D452">
        <v>0.805645308595729</v>
      </c>
      <c r="E452">
        <v>0.146987608602763</v>
      </c>
      <c r="F452">
        <v>0.984611817033412</v>
      </c>
      <c r="G452">
        <v>0.226079391100881</v>
      </c>
      <c r="H452">
        <v>0.445937546419672</v>
      </c>
      <c r="I452">
        <v>0.321823399558499</v>
      </c>
      <c r="J452">
        <v>0.530485192473508</v>
      </c>
      <c r="K452">
        <v>0.944195298194893</v>
      </c>
      <c r="L452">
        <v>0.965278748481001</v>
      </c>
      <c r="M452">
        <v>0.0444386029946774</v>
      </c>
      <c r="N452">
        <v>0.22446239297335</v>
      </c>
    </row>
    <row r="453" spans="1:14">
      <c r="A453" t="s">
        <v>38</v>
      </c>
      <c r="B453">
        <v>2014</v>
      </c>
      <c r="C453">
        <v>0.858470532825491</v>
      </c>
      <c r="D453">
        <v>0.787621653136847</v>
      </c>
      <c r="E453">
        <v>0.129753596353796</v>
      </c>
      <c r="F453">
        <v>0.98512269659684</v>
      </c>
      <c r="G453">
        <v>0.174209856624331</v>
      </c>
      <c r="H453">
        <v>0.318192114873413</v>
      </c>
      <c r="I453">
        <v>0.314088300220751</v>
      </c>
      <c r="J453">
        <v>0.522440493281516</v>
      </c>
      <c r="K453">
        <v>0.929523027023059</v>
      </c>
      <c r="L453">
        <v>0.957422289742194</v>
      </c>
      <c r="M453">
        <v>0.0445483511774143</v>
      </c>
      <c r="N453">
        <v>0.212437799571673</v>
      </c>
    </row>
    <row r="454" spans="1:14">
      <c r="A454" t="s">
        <v>38</v>
      </c>
      <c r="B454">
        <v>2015</v>
      </c>
      <c r="C454">
        <v>0.861059053196682</v>
      </c>
      <c r="D454">
        <v>0.788811757028094</v>
      </c>
      <c r="E454">
        <v>0.107392109386127</v>
      </c>
      <c r="F454">
        <v>0.985654101883315</v>
      </c>
      <c r="G454">
        <v>0.133108579085963</v>
      </c>
      <c r="H454">
        <v>0.418338224789307</v>
      </c>
      <c r="I454">
        <v>0.342953642384106</v>
      </c>
      <c r="J454">
        <v>0.564576227603207</v>
      </c>
      <c r="K454">
        <v>0.935306411150592</v>
      </c>
      <c r="L454">
        <v>0.952078041071186</v>
      </c>
      <c r="M454">
        <v>0.0595880188816801</v>
      </c>
      <c r="N454">
        <v>0.214005040736602</v>
      </c>
    </row>
    <row r="455" spans="1:14">
      <c r="A455" t="s">
        <v>38</v>
      </c>
      <c r="B455">
        <v>2016</v>
      </c>
      <c r="C455">
        <v>0.854433200016159</v>
      </c>
      <c r="D455">
        <v>0.777433701812046</v>
      </c>
      <c r="E455">
        <v>0.11707733941034</v>
      </c>
      <c r="F455">
        <v>0.985971550188206</v>
      </c>
      <c r="G455">
        <v>0.102962806064577</v>
      </c>
      <c r="H455">
        <v>0.461708587351309</v>
      </c>
      <c r="I455">
        <v>0.298618101545254</v>
      </c>
      <c r="J455">
        <v>0.50635109489753</v>
      </c>
      <c r="K455">
        <v>0.900178484679391</v>
      </c>
      <c r="L455">
        <v>0.948768756423433</v>
      </c>
      <c r="M455">
        <v>0.00963674279633542</v>
      </c>
      <c r="N455">
        <v>0.18996654101339</v>
      </c>
    </row>
    <row r="456" spans="1:14">
      <c r="A456" t="s">
        <v>38</v>
      </c>
      <c r="B456">
        <v>2017</v>
      </c>
      <c r="C456">
        <v>0.847927976836772</v>
      </c>
      <c r="D456">
        <v>0.758093105509517</v>
      </c>
      <c r="E456">
        <v>0.125053411194987</v>
      </c>
      <c r="F456">
        <v>0.986556302886687</v>
      </c>
      <c r="G456">
        <v>0.0985865051343652</v>
      </c>
      <c r="H456">
        <v>0.529524063357348</v>
      </c>
      <c r="I456">
        <v>0.262449006622516</v>
      </c>
      <c r="J456">
        <v>0.475154341980572</v>
      </c>
      <c r="K456">
        <v>0.883391669594374</v>
      </c>
      <c r="L456">
        <v>0.945320758297397</v>
      </c>
      <c r="M456">
        <v>0.00737679602264444</v>
      </c>
      <c r="N456">
        <v>0.186564328372803</v>
      </c>
    </row>
    <row r="457" spans="1:14">
      <c r="A457" t="s">
        <v>38</v>
      </c>
      <c r="B457">
        <v>2018</v>
      </c>
      <c r="C457">
        <v>0.831062572607459</v>
      </c>
      <c r="D457">
        <v>0.711483192741317</v>
      </c>
      <c r="E457">
        <v>0.0896802449793476</v>
      </c>
      <c r="F457">
        <v>0.98538272850181</v>
      </c>
      <c r="G457">
        <v>0.115070775713455</v>
      </c>
      <c r="H457">
        <v>0.599422105318409</v>
      </c>
      <c r="I457">
        <v>0.250870419426048</v>
      </c>
      <c r="J457">
        <v>0.4362957828099</v>
      </c>
      <c r="K457">
        <v>0.849776121152935</v>
      </c>
      <c r="L457">
        <v>0.941907597136115</v>
      </c>
      <c r="M457">
        <v>0.00777109146588268</v>
      </c>
      <c r="N457">
        <v>0.169629320851251</v>
      </c>
    </row>
    <row r="458" spans="1:14">
      <c r="A458" t="s">
        <v>38</v>
      </c>
      <c r="B458">
        <v>2019</v>
      </c>
      <c r="C458">
        <v>0.819552947750768</v>
      </c>
      <c r="D458">
        <v>0.688354975406968</v>
      </c>
      <c r="E458">
        <v>0.0718787921948441</v>
      </c>
      <c r="F458">
        <v>0.984603399560968</v>
      </c>
      <c r="G458">
        <v>0.124448325529856</v>
      </c>
      <c r="H458">
        <v>0.528847906788173</v>
      </c>
      <c r="I458">
        <v>0.202687637969095</v>
      </c>
      <c r="J458">
        <v>0.379763451936486</v>
      </c>
      <c r="K458">
        <v>0.819932905863806</v>
      </c>
      <c r="L458">
        <v>0.93848226140118</v>
      </c>
      <c r="M458">
        <v>0.00736635991979604</v>
      </c>
      <c r="N458">
        <v>0.153863568793473</v>
      </c>
    </row>
    <row r="459" spans="1:14">
      <c r="A459" t="s">
        <v>38</v>
      </c>
      <c r="B459">
        <v>2020</v>
      </c>
      <c r="C459">
        <v>0.804345358977422</v>
      </c>
      <c r="D459">
        <v>0.680033916084493</v>
      </c>
      <c r="E459">
        <v>0.0368893320039881</v>
      </c>
      <c r="F459">
        <v>0.986942671102734</v>
      </c>
      <c r="G459">
        <v>0.122525167966549</v>
      </c>
      <c r="H459">
        <v>0.74931602461284</v>
      </c>
      <c r="I459">
        <v>0.194260485651214</v>
      </c>
      <c r="J459">
        <v>0.371128927381324</v>
      </c>
      <c r="K459">
        <v>0.798709290769825</v>
      </c>
      <c r="L459">
        <v>0.938507851130155</v>
      </c>
      <c r="M459">
        <v>0.0233859367560494</v>
      </c>
      <c r="N459">
        <v>0.146940770144409</v>
      </c>
    </row>
    <row r="460" spans="1:14">
      <c r="A460" t="s">
        <v>38</v>
      </c>
      <c r="B460">
        <v>2021</v>
      </c>
      <c r="C460">
        <v>0.776372630992196</v>
      </c>
      <c r="D460">
        <v>0.649699478485074</v>
      </c>
      <c r="E460">
        <v>0.0267255376726963</v>
      </c>
      <c r="F460">
        <v>0.987068595912391</v>
      </c>
      <c r="G460">
        <v>0.144373153689093</v>
      </c>
      <c r="H460">
        <v>0.524807102365149</v>
      </c>
      <c r="I460">
        <v>0.178807947019867</v>
      </c>
      <c r="J460">
        <v>0.294280319019093</v>
      </c>
      <c r="K460">
        <v>0.779909879866799</v>
      </c>
      <c r="L460">
        <v>0.934272074996878</v>
      </c>
      <c r="M460">
        <v>0.0185527275489678</v>
      </c>
      <c r="N460">
        <v>0.131917880008988</v>
      </c>
    </row>
    <row r="461" spans="1:14">
      <c r="A461" t="s">
        <v>38</v>
      </c>
      <c r="B461">
        <v>2022</v>
      </c>
      <c r="C461">
        <v>0.764684141390017</v>
      </c>
      <c r="D461">
        <v>0.647843024160041</v>
      </c>
      <c r="E461">
        <v>0.0490955704315625</v>
      </c>
      <c r="F461">
        <v>0.986442380548169</v>
      </c>
      <c r="G461">
        <v>0.14662534404835</v>
      </c>
      <c r="H461">
        <v>0.613646663705144</v>
      </c>
      <c r="I461">
        <v>0.194422516556291</v>
      </c>
      <c r="J461">
        <v>0.276762296511624</v>
      </c>
      <c r="K461">
        <v>0.750447041763257</v>
      </c>
      <c r="L461">
        <v>0.930282183165656</v>
      </c>
      <c r="M461">
        <v>0.0187988164124935</v>
      </c>
      <c r="N461">
        <v>0.139601655542748</v>
      </c>
    </row>
    <row r="462" spans="1:14">
      <c r="A462" t="s">
        <v>39</v>
      </c>
      <c r="B462">
        <v>2003</v>
      </c>
      <c r="C462">
        <v>0.940976524547803</v>
      </c>
      <c r="D462">
        <v>0.984947692250332</v>
      </c>
      <c r="E462">
        <v>0.582544794188862</v>
      </c>
      <c r="F462">
        <v>0.855596853352119</v>
      </c>
      <c r="G462">
        <v>0.843622606571743</v>
      </c>
      <c r="H462">
        <v>0.903049497252878</v>
      </c>
      <c r="I462">
        <v>0.609050772626932</v>
      </c>
      <c r="J462">
        <v>0.98157242794246</v>
      </c>
      <c r="K462">
        <v>0.999536823852575</v>
      </c>
      <c r="L462">
        <v>0.874156246150989</v>
      </c>
      <c r="M462">
        <v>1</v>
      </c>
      <c r="N462">
        <v>0.810914849804173</v>
      </c>
    </row>
    <row r="463" spans="1:14">
      <c r="A463" t="s">
        <v>39</v>
      </c>
      <c r="B463">
        <v>2004</v>
      </c>
      <c r="C463">
        <v>0.932833603526298</v>
      </c>
      <c r="D463">
        <v>0.98633818851302</v>
      </c>
      <c r="E463">
        <v>0.576212078051559</v>
      </c>
      <c r="F463">
        <v>0.855596853352119</v>
      </c>
      <c r="G463">
        <v>0.67995079254843</v>
      </c>
      <c r="H463">
        <v>0.883893990937312</v>
      </c>
      <c r="I463">
        <v>0.577704194260486</v>
      </c>
      <c r="J463">
        <v>0.957109624861708</v>
      </c>
      <c r="K463">
        <v>1</v>
      </c>
      <c r="L463">
        <v>0.872661809440914</v>
      </c>
      <c r="M463">
        <v>0.941697129865197</v>
      </c>
      <c r="N463">
        <v>0.775616518681782</v>
      </c>
    </row>
    <row r="464" spans="1:14">
      <c r="A464" t="s">
        <v>39</v>
      </c>
      <c r="B464">
        <v>2005</v>
      </c>
      <c r="C464">
        <v>0.925365360991957</v>
      </c>
      <c r="D464">
        <v>0.984411381823931</v>
      </c>
      <c r="E464">
        <v>0.502186867967526</v>
      </c>
      <c r="F464">
        <v>0.855596853352119</v>
      </c>
      <c r="G464">
        <v>0.717792278886481</v>
      </c>
      <c r="H464">
        <v>0.881218276132851</v>
      </c>
      <c r="I464">
        <v>0.577704194260486</v>
      </c>
      <c r="J464">
        <v>0.957109624861708</v>
      </c>
      <c r="K464">
        <v>0.988883046155129</v>
      </c>
      <c r="L464">
        <v>0.865431157378245</v>
      </c>
      <c r="M464">
        <v>0.963570194754539</v>
      </c>
      <c r="N464">
        <v>0.758343314362694</v>
      </c>
    </row>
    <row r="465" spans="1:14">
      <c r="A465" t="s">
        <v>39</v>
      </c>
      <c r="B465">
        <v>2006</v>
      </c>
      <c r="C465">
        <v>0.909838096657633</v>
      </c>
      <c r="D465">
        <v>0.985661742203997</v>
      </c>
      <c r="E465">
        <v>0.563879789203817</v>
      </c>
      <c r="F465">
        <v>0.993359350519869</v>
      </c>
      <c r="G465">
        <v>0.80088766660767</v>
      </c>
      <c r="H465">
        <v>0.882006828179433</v>
      </c>
      <c r="I465">
        <v>0.536423841059603</v>
      </c>
      <c r="J465">
        <v>0.960851468096099</v>
      </c>
      <c r="K465">
        <v>0.987493413954759</v>
      </c>
      <c r="L465">
        <v>0.862487383485602</v>
      </c>
      <c r="M465">
        <v>0.592212510801197</v>
      </c>
      <c r="N465">
        <v>0.650100635217443</v>
      </c>
    </row>
    <row r="466" spans="1:14">
      <c r="A466" t="s">
        <v>39</v>
      </c>
      <c r="B466">
        <v>2007</v>
      </c>
      <c r="C466">
        <v>0.894685558278267</v>
      </c>
      <c r="D466">
        <v>0.984873626111685</v>
      </c>
      <c r="E466">
        <v>0.540094003703176</v>
      </c>
      <c r="F466">
        <v>0.993483359401564</v>
      </c>
      <c r="G466">
        <v>0.740600353369733</v>
      </c>
      <c r="H466">
        <v>0.87254420362045</v>
      </c>
      <c r="I466">
        <v>0.399116997792494</v>
      </c>
      <c r="J466">
        <v>0.940894970846012</v>
      </c>
      <c r="K466">
        <v>0.987030237807334</v>
      </c>
      <c r="L466">
        <v>0.888296752138909</v>
      </c>
      <c r="M466">
        <v>0.642724754369532</v>
      </c>
      <c r="N466">
        <v>0.645855223104294</v>
      </c>
    </row>
    <row r="467" spans="1:14">
      <c r="A467" t="s">
        <v>39</v>
      </c>
      <c r="B467">
        <v>2008</v>
      </c>
      <c r="C467">
        <v>0.892029335743419</v>
      </c>
      <c r="D467">
        <v>0.985911128425143</v>
      </c>
      <c r="E467">
        <v>0.458339267910554</v>
      </c>
      <c r="F467">
        <v>0.993894430300594</v>
      </c>
      <c r="G467">
        <v>0.689360336916723</v>
      </c>
      <c r="H467">
        <v>0.853618954502486</v>
      </c>
      <c r="I467">
        <v>0.436203090507726</v>
      </c>
      <c r="J467">
        <v>0.934618330581871</v>
      </c>
      <c r="K467">
        <v>0.985681382539297</v>
      </c>
      <c r="L467">
        <v>0.884082466694917</v>
      </c>
      <c r="M467">
        <v>0.706353790119127</v>
      </c>
      <c r="N467">
        <v>0.638571541718819</v>
      </c>
    </row>
    <row r="468" spans="1:14">
      <c r="A468" t="s">
        <v>39</v>
      </c>
      <c r="B468">
        <v>2009</v>
      </c>
      <c r="C468">
        <v>0.878732852652908</v>
      </c>
      <c r="D468">
        <v>0.987368388099421</v>
      </c>
      <c r="E468">
        <v>0.448796467739638</v>
      </c>
      <c r="F468">
        <v>0.991192814713482</v>
      </c>
      <c r="G468">
        <v>0.726955516812943</v>
      </c>
      <c r="H468">
        <v>0.845733434036668</v>
      </c>
      <c r="I468">
        <v>0.394701986754967</v>
      </c>
      <c r="J468">
        <v>0.92962920626935</v>
      </c>
      <c r="K468">
        <v>0.986615205417169</v>
      </c>
      <c r="L468">
        <v>0.986994413685641</v>
      </c>
      <c r="M468">
        <v>0.802451940994022</v>
      </c>
      <c r="N468">
        <v>0.66978559876093</v>
      </c>
    </row>
    <row r="469" spans="1:14">
      <c r="A469" t="s">
        <v>39</v>
      </c>
      <c r="B469">
        <v>2010</v>
      </c>
      <c r="C469">
        <v>0.862730985915493</v>
      </c>
      <c r="D469">
        <v>0.987280692579928</v>
      </c>
      <c r="E469">
        <v>0.431277595784076</v>
      </c>
      <c r="F469">
        <v>0.988157475115712</v>
      </c>
      <c r="G469">
        <v>0.713241663596627</v>
      </c>
      <c r="H469">
        <v>0.833116601291358</v>
      </c>
      <c r="I469">
        <v>0.391611479028697</v>
      </c>
      <c r="J469">
        <v>0.931600715070266</v>
      </c>
      <c r="K469">
        <v>0.983787797259168</v>
      </c>
      <c r="L469">
        <v>0.983255675714995</v>
      </c>
      <c r="M469">
        <v>0.755233916603232</v>
      </c>
      <c r="N469">
        <v>0.645535419143589</v>
      </c>
    </row>
    <row r="470" spans="1:14">
      <c r="A470" t="s">
        <v>39</v>
      </c>
      <c r="B470">
        <v>2011</v>
      </c>
      <c r="C470">
        <v>0.847102454390935</v>
      </c>
      <c r="D470">
        <v>0.986253292268102</v>
      </c>
      <c r="E470">
        <v>0.405070502777382</v>
      </c>
      <c r="F470">
        <v>0.990993843021379</v>
      </c>
      <c r="G470">
        <v>0.721565789622461</v>
      </c>
      <c r="H470">
        <v>0.833116601291358</v>
      </c>
      <c r="I470">
        <v>0.333112582781457</v>
      </c>
      <c r="J470">
        <v>0.91767944884339</v>
      </c>
      <c r="K470">
        <v>0.990272678355501</v>
      </c>
      <c r="L470">
        <v>0.981407734070671</v>
      </c>
      <c r="M470">
        <v>0.292996548591922</v>
      </c>
      <c r="N470">
        <v>0.46771475535414</v>
      </c>
    </row>
    <row r="471" spans="1:14">
      <c r="A471" t="s">
        <v>39</v>
      </c>
      <c r="B471">
        <v>2012</v>
      </c>
      <c r="C471">
        <v>0.833182534894526</v>
      </c>
      <c r="D471">
        <v>0.985071234336736</v>
      </c>
      <c r="E471">
        <v>0.408061529696625</v>
      </c>
      <c r="F471">
        <v>0.993006781673589</v>
      </c>
      <c r="G471">
        <v>0.649455744823671</v>
      </c>
      <c r="H471">
        <v>0.87648696385336</v>
      </c>
      <c r="I471">
        <v>0.323841059602649</v>
      </c>
      <c r="J471">
        <v>0.91265008965738</v>
      </c>
      <c r="K471">
        <v>0.989346222302554</v>
      </c>
      <c r="L471">
        <v>0.978359244458138</v>
      </c>
      <c r="M471">
        <v>0.292400164082655</v>
      </c>
      <c r="N471">
        <v>0.464030811959396</v>
      </c>
    </row>
    <row r="472" spans="1:14">
      <c r="A472" t="s">
        <v>39</v>
      </c>
      <c r="B472">
        <v>2013</v>
      </c>
      <c r="C472">
        <v>0.822770741556535</v>
      </c>
      <c r="D472">
        <v>0.975662429561019</v>
      </c>
      <c r="E472">
        <v>0.358068651189289</v>
      </c>
      <c r="F472">
        <v>0.995166871014908</v>
      </c>
      <c r="G472">
        <v>0.740567785931362</v>
      </c>
      <c r="H472">
        <v>0.839425017664013</v>
      </c>
      <c r="I472">
        <v>0.350986828550404</v>
      </c>
      <c r="J472">
        <v>0.90446618227366</v>
      </c>
      <c r="K472">
        <v>0.979538730234688</v>
      </c>
      <c r="L472">
        <v>0.975375019133629</v>
      </c>
      <c r="M472">
        <v>0.294237693718422</v>
      </c>
      <c r="N472">
        <v>0.451616335544722</v>
      </c>
    </row>
    <row r="473" spans="1:14">
      <c r="A473" t="s">
        <v>39</v>
      </c>
      <c r="B473">
        <v>2014</v>
      </c>
      <c r="C473">
        <v>0.817477109962832</v>
      </c>
      <c r="D473">
        <v>0.969536120801114</v>
      </c>
      <c r="E473">
        <v>0.337558752314485</v>
      </c>
      <c r="F473">
        <v>0.991821936777494</v>
      </c>
      <c r="G473">
        <v>0.59268238446227</v>
      </c>
      <c r="H473">
        <v>0.792111894869102</v>
      </c>
      <c r="I473">
        <v>0.345622565611969</v>
      </c>
      <c r="J473">
        <v>0.89457662919195</v>
      </c>
      <c r="K473">
        <v>0.966853322872672</v>
      </c>
      <c r="L473">
        <v>0.970453028304972</v>
      </c>
      <c r="M473">
        <v>0.312331019390704</v>
      </c>
      <c r="N473">
        <v>0.441208450975709</v>
      </c>
    </row>
    <row r="474" spans="1:14">
      <c r="A474" t="s">
        <v>39</v>
      </c>
      <c r="B474">
        <v>2015</v>
      </c>
      <c r="C474">
        <v>0.819003056454513</v>
      </c>
      <c r="D474">
        <v>0.961979079957337</v>
      </c>
      <c r="E474">
        <v>0.227033186155818</v>
      </c>
      <c r="F474">
        <v>0.994837806439166</v>
      </c>
      <c r="G474">
        <v>0.554337796058757</v>
      </c>
      <c r="H474">
        <v>0.796843207148593</v>
      </c>
      <c r="I474">
        <v>0.405278366445916</v>
      </c>
      <c r="J474">
        <v>0.88809836750622</v>
      </c>
      <c r="K474">
        <v>0.959923746098955</v>
      </c>
      <c r="L474">
        <v>0.962572434453653</v>
      </c>
      <c r="M474">
        <v>0.352300526040728</v>
      </c>
      <c r="N474">
        <v>0.417391830195205</v>
      </c>
    </row>
    <row r="475" spans="1:14">
      <c r="A475" t="s">
        <v>39</v>
      </c>
      <c r="B475">
        <v>2016</v>
      </c>
      <c r="C475">
        <v>0.811067056945184</v>
      </c>
      <c r="D475">
        <v>0.951790738519849</v>
      </c>
      <c r="E475">
        <v>0.204244409628258</v>
      </c>
      <c r="F475">
        <v>0.994271957056322</v>
      </c>
      <c r="G475">
        <v>0.598709455067232</v>
      </c>
      <c r="H475">
        <v>0.92774284688118</v>
      </c>
      <c r="I475">
        <v>0.334894039735099</v>
      </c>
      <c r="J475">
        <v>0.87479752302853</v>
      </c>
      <c r="K475">
        <v>0.941482508148642</v>
      </c>
      <c r="L475">
        <v>0.956983721778338</v>
      </c>
      <c r="M475">
        <v>0.0904151936524694</v>
      </c>
      <c r="N475">
        <v>0.313270443847194</v>
      </c>
    </row>
    <row r="476" spans="1:14">
      <c r="A476" t="s">
        <v>39</v>
      </c>
      <c r="B476">
        <v>2017</v>
      </c>
      <c r="C476">
        <v>0.791806906827943</v>
      </c>
      <c r="D476">
        <v>0.95264224225674</v>
      </c>
      <c r="E476">
        <v>0.17461900014243</v>
      </c>
      <c r="F476">
        <v>0.991819102048788</v>
      </c>
      <c r="G476">
        <v>0.601125733922019</v>
      </c>
      <c r="H476">
        <v>0.920645878461943</v>
      </c>
      <c r="I476">
        <v>0.302052759381899</v>
      </c>
      <c r="J476">
        <v>0.861260017024984</v>
      </c>
      <c r="K476">
        <v>0.927576951674251</v>
      </c>
      <c r="L476">
        <v>0.954426278518489</v>
      </c>
      <c r="M476">
        <v>0.0839209581987209</v>
      </c>
      <c r="N476">
        <v>0.296526635974394</v>
      </c>
    </row>
    <row r="477" spans="1:14">
      <c r="A477" t="s">
        <v>39</v>
      </c>
      <c r="B477">
        <v>2018</v>
      </c>
      <c r="C477">
        <v>0.778333333333334</v>
      </c>
      <c r="D477">
        <v>0.916689954381521</v>
      </c>
      <c r="E477">
        <v>0.181667711152257</v>
      </c>
      <c r="F477">
        <v>0.991243788926052</v>
      </c>
      <c r="G477">
        <v>0.596329847358481</v>
      </c>
      <c r="H477">
        <v>0.912798997046407</v>
      </c>
      <c r="I477">
        <v>0.245014790286976</v>
      </c>
      <c r="J477">
        <v>0.861140318276357</v>
      </c>
      <c r="K477">
        <v>0.92020618394111</v>
      </c>
      <c r="L477">
        <v>0.953003249477734</v>
      </c>
      <c r="M477">
        <v>0.0672362067480491</v>
      </c>
      <c r="N477">
        <v>0.287602859588234</v>
      </c>
    </row>
    <row r="478" spans="1:14">
      <c r="A478" t="s">
        <v>39</v>
      </c>
      <c r="B478">
        <v>2019</v>
      </c>
      <c r="C478">
        <v>0.771065921690922</v>
      </c>
      <c r="D478">
        <v>0.901031198562958</v>
      </c>
      <c r="E478">
        <v>0.116747187010397</v>
      </c>
      <c r="F478">
        <v>0.991043810654333</v>
      </c>
      <c r="G478">
        <v>0.615605500403016</v>
      </c>
      <c r="H478">
        <v>0.842156983040165</v>
      </c>
      <c r="I478">
        <v>0.201184326710817</v>
      </c>
      <c r="J478">
        <v>0.850197639733804</v>
      </c>
      <c r="K478">
        <v>0.889819172462767</v>
      </c>
      <c r="L478">
        <v>0.955529890878024</v>
      </c>
      <c r="M478">
        <v>0.0644007531426069</v>
      </c>
      <c r="N478">
        <v>0.258852386358837</v>
      </c>
    </row>
    <row r="479" spans="1:14">
      <c r="A479" t="s">
        <v>39</v>
      </c>
      <c r="B479">
        <v>2020</v>
      </c>
      <c r="C479">
        <v>0.764991359944704</v>
      </c>
      <c r="D479">
        <v>0.891646450075549</v>
      </c>
      <c r="E479">
        <v>0.0776242700470019</v>
      </c>
      <c r="F479">
        <v>0.990075207957173</v>
      </c>
      <c r="G479">
        <v>0.58158611972514</v>
      </c>
      <c r="H479">
        <v>0.825707722635156</v>
      </c>
      <c r="I479">
        <v>0.189845474613686</v>
      </c>
      <c r="J479">
        <v>0.845498085805776</v>
      </c>
      <c r="K479">
        <v>0.883790930753713</v>
      </c>
      <c r="L479">
        <v>0.948816723362554</v>
      </c>
      <c r="M479">
        <v>0.0448887764684711</v>
      </c>
      <c r="N479">
        <v>0.2344705503726</v>
      </c>
    </row>
    <row r="480" spans="1:14">
      <c r="A480" t="s">
        <v>39</v>
      </c>
      <c r="B480">
        <v>2021</v>
      </c>
      <c r="C480">
        <v>0.74132528556594</v>
      </c>
      <c r="D480">
        <v>0.866587742716391</v>
      </c>
      <c r="E480">
        <v>0.139662441247686</v>
      </c>
      <c r="F480">
        <v>0.988641433286929</v>
      </c>
      <c r="G480">
        <v>0.616695024213622</v>
      </c>
      <c r="H480">
        <v>0.845970117038804</v>
      </c>
      <c r="I480">
        <v>0.178807947019867</v>
      </c>
      <c r="J480">
        <v>0.80687260725722</v>
      </c>
      <c r="K480">
        <v>0.85656729615321</v>
      </c>
      <c r="L480">
        <v>0.951411241671813</v>
      </c>
      <c r="M480">
        <v>0.0429978188738346</v>
      </c>
      <c r="N480">
        <v>0.252449387136541</v>
      </c>
    </row>
    <row r="481" spans="1:14">
      <c r="A481" t="s">
        <v>39</v>
      </c>
      <c r="B481">
        <v>2022</v>
      </c>
      <c r="C481">
        <v>0.741593620331951</v>
      </c>
      <c r="D481">
        <v>0.850510411351958</v>
      </c>
      <c r="E481">
        <v>0.0960091155106109</v>
      </c>
      <c r="F481">
        <v>0.988445978581024</v>
      </c>
      <c r="G481">
        <v>0.610627242485981</v>
      </c>
      <c r="H481">
        <v>0.858535132640988</v>
      </c>
      <c r="I481">
        <v>0.150518543046358</v>
      </c>
      <c r="J481">
        <v>0.795358553276263</v>
      </c>
      <c r="K481">
        <v>0.837689547886541</v>
      </c>
      <c r="L481">
        <v>0.954733605275858</v>
      </c>
      <c r="M481">
        <v>0.0430065534811746</v>
      </c>
      <c r="N481">
        <v>0.233234695273233</v>
      </c>
    </row>
    <row r="482" spans="1:14">
      <c r="A482" t="s">
        <v>40</v>
      </c>
      <c r="B482">
        <v>2003</v>
      </c>
      <c r="C482">
        <v>0.951623884064595</v>
      </c>
      <c r="D482">
        <v>0.986321821547439</v>
      </c>
      <c r="E482">
        <v>0.502648340692209</v>
      </c>
      <c r="F482">
        <v>0.874649237472767</v>
      </c>
      <c r="G482">
        <v>0.414832917091924</v>
      </c>
      <c r="H482">
        <v>0.962827104537699</v>
      </c>
      <c r="I482">
        <v>0.777262693156733</v>
      </c>
      <c r="J482">
        <v>0.999597651265119</v>
      </c>
      <c r="K482">
        <v>0.98270694915708</v>
      </c>
      <c r="L482">
        <v>0.974928274967985</v>
      </c>
      <c r="M482">
        <v>0.0844636677204742</v>
      </c>
      <c r="N482">
        <v>0.452478528988299</v>
      </c>
    </row>
    <row r="483" spans="1:14">
      <c r="A483" t="s">
        <v>40</v>
      </c>
      <c r="B483">
        <v>2004</v>
      </c>
      <c r="C483">
        <v>0.941148787693469</v>
      </c>
      <c r="D483">
        <v>0.987483658993025</v>
      </c>
      <c r="E483">
        <v>0.54340606751175</v>
      </c>
      <c r="F483">
        <v>0.884881952781112</v>
      </c>
      <c r="G483">
        <v>0.452795131170569</v>
      </c>
      <c r="H483">
        <v>0.943324241045614</v>
      </c>
      <c r="I483">
        <v>0.752538631346579</v>
      </c>
      <c r="J483">
        <v>0.998269900440013</v>
      </c>
      <c r="K483">
        <v>0.980977716703456</v>
      </c>
      <c r="L483">
        <v>0.970671119955265</v>
      </c>
      <c r="M483">
        <v>0.0908403729845045</v>
      </c>
      <c r="N483">
        <v>0.468817211595749</v>
      </c>
    </row>
    <row r="484" spans="1:14">
      <c r="A484" t="s">
        <v>40</v>
      </c>
      <c r="B484">
        <v>2005</v>
      </c>
      <c r="C484">
        <v>0.928413202247191</v>
      </c>
      <c r="D484">
        <v>0.985300283365993</v>
      </c>
      <c r="E484">
        <v>0.569629539951574</v>
      </c>
      <c r="F484">
        <v>0.884881952781112</v>
      </c>
      <c r="G484">
        <v>0.44983872182551</v>
      </c>
      <c r="H484">
        <v>0.902509181390561</v>
      </c>
      <c r="I484">
        <v>0.752538631346579</v>
      </c>
      <c r="J484">
        <v>0.998269900440013</v>
      </c>
      <c r="K484">
        <v>0.9922181426844</v>
      </c>
      <c r="L484">
        <v>0.963770611089797</v>
      </c>
      <c r="M484">
        <v>0.107457801629423</v>
      </c>
      <c r="N484">
        <v>0.483299723081201</v>
      </c>
    </row>
    <row r="485" spans="1:14">
      <c r="A485" t="s">
        <v>40</v>
      </c>
      <c r="B485">
        <v>2006</v>
      </c>
      <c r="C485">
        <v>0.917672144843483</v>
      </c>
      <c r="D485">
        <v>0.987005926613603</v>
      </c>
      <c r="E485">
        <v>0.607178464606181</v>
      </c>
      <c r="F485">
        <v>0.994342234671646</v>
      </c>
      <c r="G485">
        <v>0.534696402621563</v>
      </c>
      <c r="H485">
        <v>0.849676194269577</v>
      </c>
      <c r="I485">
        <v>0.689403973509934</v>
      </c>
      <c r="J485">
        <v>0.995332754675383</v>
      </c>
      <c r="K485">
        <v>0.988759574019055</v>
      </c>
      <c r="L485">
        <v>0.954416221286679</v>
      </c>
      <c r="M485">
        <v>0.108960698933938</v>
      </c>
      <c r="N485">
        <v>0.496004680113579</v>
      </c>
    </row>
    <row r="486" spans="1:14">
      <c r="A486" t="s">
        <v>40</v>
      </c>
      <c r="B486">
        <v>2007</v>
      </c>
      <c r="C486">
        <v>0.905585311401565</v>
      </c>
      <c r="D486">
        <v>0.98700452203906</v>
      </c>
      <c r="E486">
        <v>0.319470160945734</v>
      </c>
      <c r="F486">
        <v>0.994250772167274</v>
      </c>
      <c r="G486">
        <v>0.523439198876599</v>
      </c>
      <c r="H486">
        <v>0.848887642222995</v>
      </c>
      <c r="I486">
        <v>0.755187637969095</v>
      </c>
      <c r="J486">
        <v>0.993844064356324</v>
      </c>
      <c r="K486">
        <v>0.985300901595613</v>
      </c>
      <c r="L486">
        <v>0.950213737226355</v>
      </c>
      <c r="M486">
        <v>0.100238862887938</v>
      </c>
      <c r="N486">
        <v>0.394242993182276</v>
      </c>
    </row>
    <row r="487" spans="1:14">
      <c r="A487" t="s">
        <v>40</v>
      </c>
      <c r="B487">
        <v>2008</v>
      </c>
      <c r="C487">
        <v>0.895627281972265</v>
      </c>
      <c r="D487">
        <v>0.98758235431763</v>
      </c>
      <c r="E487">
        <v>0.34040734938043</v>
      </c>
      <c r="F487">
        <v>0.995375334901961</v>
      </c>
      <c r="G487">
        <v>0.401524092985067</v>
      </c>
      <c r="H487">
        <v>0.814191352173394</v>
      </c>
      <c r="I487">
        <v>0.740176600441501</v>
      </c>
      <c r="J487">
        <v>0.994930405940502</v>
      </c>
      <c r="K487">
        <v>0.982672397710598</v>
      </c>
      <c r="L487">
        <v>0.942140486972164</v>
      </c>
      <c r="M487">
        <v>0.0928081529532056</v>
      </c>
      <c r="N487">
        <v>0.391328209661372</v>
      </c>
    </row>
    <row r="488" spans="1:14">
      <c r="A488" t="s">
        <v>40</v>
      </c>
      <c r="B488">
        <v>2009</v>
      </c>
      <c r="C488">
        <v>0.888544359877489</v>
      </c>
      <c r="D488">
        <v>0.989425988711634</v>
      </c>
      <c r="E488">
        <v>0.317903432559464</v>
      </c>
      <c r="F488">
        <v>0.999913412149174</v>
      </c>
      <c r="G488">
        <v>0.466424521515195</v>
      </c>
      <c r="H488">
        <v>0.733759043422046</v>
      </c>
      <c r="I488">
        <v>0.64878587196468</v>
      </c>
      <c r="J488">
        <v>0.993964768976788</v>
      </c>
      <c r="K488">
        <v>0.969702635517932</v>
      </c>
      <c r="L488">
        <v>0.93784552830296</v>
      </c>
      <c r="M488">
        <v>0.0911147759421257</v>
      </c>
      <c r="N488">
        <v>0.37840311309002</v>
      </c>
    </row>
    <row r="489" spans="1:14">
      <c r="A489" t="s">
        <v>40</v>
      </c>
      <c r="B489">
        <v>2010</v>
      </c>
      <c r="C489">
        <v>0.875273066058236</v>
      </c>
      <c r="D489">
        <v>0.991537256727068</v>
      </c>
      <c r="E489">
        <v>0.336134453781513</v>
      </c>
      <c r="F489">
        <v>0.999874070485989</v>
      </c>
      <c r="G489">
        <v>0.399599733155437</v>
      </c>
      <c r="H489">
        <v>0.76135836505241</v>
      </c>
      <c r="I489">
        <v>0.592715231788079</v>
      </c>
      <c r="J489">
        <v>0.993441715621443</v>
      </c>
      <c r="K489">
        <v>0.965846258306614</v>
      </c>
      <c r="L489">
        <v>0.935057877159171</v>
      </c>
      <c r="M489">
        <v>0.0681550804285816</v>
      </c>
      <c r="N489">
        <v>0.369492900964225</v>
      </c>
    </row>
    <row r="490" spans="1:14">
      <c r="A490" t="s">
        <v>40</v>
      </c>
      <c r="B490">
        <v>2011</v>
      </c>
      <c r="C490">
        <v>0.851011367171717</v>
      </c>
      <c r="D490">
        <v>0.990289803976085</v>
      </c>
      <c r="E490">
        <v>0.367326591653611</v>
      </c>
      <c r="F490">
        <v>0.999694012529855</v>
      </c>
      <c r="G490">
        <v>0.344257372010065</v>
      </c>
      <c r="H490">
        <v>0.743221667981028</v>
      </c>
      <c r="I490">
        <v>0.592494481236203</v>
      </c>
      <c r="J490">
        <v>0.986963900989862</v>
      </c>
      <c r="K490">
        <v>0.958496760983469</v>
      </c>
      <c r="L490">
        <v>0.927005952527106</v>
      </c>
      <c r="M490">
        <v>0.0541958868203958</v>
      </c>
      <c r="N490">
        <v>0.371371677041046</v>
      </c>
    </row>
    <row r="491" spans="1:14">
      <c r="A491" t="s">
        <v>40</v>
      </c>
      <c r="B491">
        <v>2012</v>
      </c>
      <c r="C491">
        <v>0.837565305081696</v>
      </c>
      <c r="D491">
        <v>0.990075440806284</v>
      </c>
      <c r="E491">
        <v>0.47770972795898</v>
      </c>
      <c r="F491">
        <v>0.99857628498873</v>
      </c>
      <c r="G491">
        <v>0.274115619413705</v>
      </c>
      <c r="H491">
        <v>0.67146343174208</v>
      </c>
      <c r="I491">
        <v>0.551434878587197</v>
      </c>
      <c r="J491">
        <v>0.985113096809411</v>
      </c>
      <c r="K491">
        <v>0.945959358783258</v>
      </c>
      <c r="L491">
        <v>0.906502597150079</v>
      </c>
      <c r="M491">
        <v>0.0550708664508378</v>
      </c>
      <c r="N491">
        <v>0.40275881813923</v>
      </c>
    </row>
    <row r="492" spans="1:14">
      <c r="A492" t="s">
        <v>40</v>
      </c>
      <c r="B492">
        <v>2013</v>
      </c>
      <c r="C492">
        <v>0.820160884866767</v>
      </c>
      <c r="D492">
        <v>0.990188947888778</v>
      </c>
      <c r="E492">
        <v>0.405497792337274</v>
      </c>
      <c r="F492">
        <v>0.997648591449695</v>
      </c>
      <c r="G492">
        <v>0.222479790996605</v>
      </c>
      <c r="H492">
        <v>0.653326734670697</v>
      </c>
      <c r="I492">
        <v>0.520530242825607</v>
      </c>
      <c r="J492">
        <v>0.98521529338807</v>
      </c>
      <c r="K492">
        <v>0.952527799734144</v>
      </c>
      <c r="L492">
        <v>0.889265463751081</v>
      </c>
      <c r="M492">
        <v>0.0555405036178393</v>
      </c>
      <c r="N492">
        <v>0.371946594657472</v>
      </c>
    </row>
    <row r="493" spans="1:14">
      <c r="A493" t="s">
        <v>40</v>
      </c>
      <c r="B493">
        <v>2014</v>
      </c>
      <c r="C493">
        <v>0.812147360126084</v>
      </c>
      <c r="D493">
        <v>0.989479170627226</v>
      </c>
      <c r="E493">
        <v>0.339267910554052</v>
      </c>
      <c r="F493">
        <v>0.9984430538669</v>
      </c>
      <c r="G493">
        <v>0.156692697092178</v>
      </c>
      <c r="H493">
        <v>0.662000807183098</v>
      </c>
      <c r="I493">
        <v>0.474062840323768</v>
      </c>
      <c r="J493">
        <v>0.984917823556749</v>
      </c>
      <c r="K493">
        <v>0.953067607000942</v>
      </c>
      <c r="L493">
        <v>0.873773981598216</v>
      </c>
      <c r="M493">
        <v>0.0597854195760162</v>
      </c>
      <c r="N493">
        <v>0.343112478142634</v>
      </c>
    </row>
    <row r="494" spans="1:14">
      <c r="A494" t="s">
        <v>40</v>
      </c>
      <c r="B494">
        <v>2015</v>
      </c>
      <c r="C494">
        <v>0.823583887340053</v>
      </c>
      <c r="D494">
        <v>0.985604996325756</v>
      </c>
      <c r="E494">
        <v>0.33057968950292</v>
      </c>
      <c r="F494">
        <v>0.998311155982015</v>
      </c>
      <c r="G494">
        <v>0.107513116852676</v>
      </c>
      <c r="H494">
        <v>0.515330126518874</v>
      </c>
      <c r="I494">
        <v>0.458720971302428</v>
      </c>
      <c r="J494">
        <v>0.98541968654539</v>
      </c>
      <c r="K494">
        <v>0.965664681635917</v>
      </c>
      <c r="L494">
        <v>0.85454857244821</v>
      </c>
      <c r="M494">
        <v>0.0661122974445286</v>
      </c>
      <c r="N494">
        <v>0.337432994322067</v>
      </c>
    </row>
    <row r="495" spans="1:14">
      <c r="A495" t="s">
        <v>40</v>
      </c>
      <c r="B495">
        <v>2016</v>
      </c>
      <c r="C495">
        <v>0.827534388140546</v>
      </c>
      <c r="D495">
        <v>0.982562881465105</v>
      </c>
      <c r="E495">
        <v>0.302236148696767</v>
      </c>
      <c r="F495">
        <v>0.997450523052774</v>
      </c>
      <c r="G495">
        <v>0.0933428325902131</v>
      </c>
      <c r="H495">
        <v>0.727450627049391</v>
      </c>
      <c r="I495">
        <v>0.381128035320088</v>
      </c>
      <c r="J495">
        <v>0.984322883894105</v>
      </c>
      <c r="K495">
        <v>0.954147221534537</v>
      </c>
      <c r="L495">
        <v>0.819574633291215</v>
      </c>
      <c r="M495">
        <v>0.0402878620459711</v>
      </c>
      <c r="N495">
        <v>0.313190497708476</v>
      </c>
    </row>
    <row r="496" spans="1:14">
      <c r="A496" t="s">
        <v>40</v>
      </c>
      <c r="B496">
        <v>2017</v>
      </c>
      <c r="C496">
        <v>0.812652177001208</v>
      </c>
      <c r="D496">
        <v>0.978203892794228</v>
      </c>
      <c r="E496">
        <v>0.342828656886483</v>
      </c>
      <c r="F496">
        <v>0.997401625070047</v>
      </c>
      <c r="G496">
        <v>0.080522917915527</v>
      </c>
      <c r="H496">
        <v>0.829962393105031</v>
      </c>
      <c r="I496">
        <v>0.35056114790287</v>
      </c>
      <c r="J496">
        <v>0.982074639633338</v>
      </c>
      <c r="K496">
        <v>0.946440173807264</v>
      </c>
      <c r="L496">
        <v>0.803528265957529</v>
      </c>
      <c r="M496">
        <v>0.0382090485129053</v>
      </c>
      <c r="N496">
        <v>0.324053395534252</v>
      </c>
    </row>
    <row r="497" spans="1:14">
      <c r="A497" t="s">
        <v>40</v>
      </c>
      <c r="B497">
        <v>2018</v>
      </c>
      <c r="C497">
        <v>0.79591147494507</v>
      </c>
      <c r="D497">
        <v>0.970909409114714</v>
      </c>
      <c r="E497">
        <v>0.323203959549922</v>
      </c>
      <c r="F497">
        <v>0.996910865322737</v>
      </c>
      <c r="G497">
        <v>0.0887883332003495</v>
      </c>
      <c r="H497">
        <v>0.764665552335774</v>
      </c>
      <c r="I497">
        <v>0.326867991169978</v>
      </c>
      <c r="J497">
        <v>0.971211666375165</v>
      </c>
      <c r="K497">
        <v>0.910916306435845</v>
      </c>
      <c r="L497">
        <v>0.791731108871571</v>
      </c>
      <c r="M497">
        <v>0.0370574621294583</v>
      </c>
      <c r="N497">
        <v>0.312449904822266</v>
      </c>
    </row>
    <row r="498" spans="1:14">
      <c r="A498" t="s">
        <v>40</v>
      </c>
      <c r="B498">
        <v>2019</v>
      </c>
      <c r="C498">
        <v>0.780258803563853</v>
      </c>
      <c r="D498">
        <v>0.963562896154385</v>
      </c>
      <c r="E498">
        <v>0.314528557185586</v>
      </c>
      <c r="F498">
        <v>0.99641750061256</v>
      </c>
      <c r="G498">
        <v>0.0912485851341675</v>
      </c>
      <c r="H498">
        <v>0.659630244672518</v>
      </c>
      <c r="I498">
        <v>0.254943708609271</v>
      </c>
      <c r="J498">
        <v>0.967367747266734</v>
      </c>
      <c r="K498">
        <v>0.892552887058688</v>
      </c>
      <c r="L498">
        <v>0.788138839577688</v>
      </c>
      <c r="M498">
        <v>0.0350239997671713</v>
      </c>
      <c r="N498">
        <v>0.301595620008046</v>
      </c>
    </row>
    <row r="499" spans="1:14">
      <c r="A499" t="s">
        <v>40</v>
      </c>
      <c r="B499">
        <v>2020</v>
      </c>
      <c r="C499">
        <v>0.754844345616264</v>
      </c>
      <c r="D499">
        <v>0.957671471055424</v>
      </c>
      <c r="E499">
        <v>0.304087736789631</v>
      </c>
      <c r="F499">
        <v>0.995835051483211</v>
      </c>
      <c r="G499">
        <v>0.11236414913517</v>
      </c>
      <c r="H499">
        <v>0.847177396278628</v>
      </c>
      <c r="I499">
        <v>0.211920529801324</v>
      </c>
      <c r="J499">
        <v>0.958558080307279</v>
      </c>
      <c r="K499">
        <v>0.851625920515902</v>
      </c>
      <c r="L499">
        <v>0.772395152369596</v>
      </c>
      <c r="M499">
        <v>0.0330797718136247</v>
      </c>
      <c r="N499">
        <v>0.294536432812441</v>
      </c>
    </row>
    <row r="500" spans="1:14">
      <c r="A500" t="s">
        <v>40</v>
      </c>
      <c r="B500">
        <v>2021</v>
      </c>
      <c r="C500">
        <v>0.739276119402985</v>
      </c>
      <c r="D500">
        <v>0.951821897413809</v>
      </c>
      <c r="E500">
        <v>0.305742771684945</v>
      </c>
      <c r="F500">
        <v>0.995465218678853</v>
      </c>
      <c r="G500">
        <v>0.120263442560645</v>
      </c>
      <c r="H500">
        <v>0.792879214676983</v>
      </c>
      <c r="I500">
        <v>0.169977924944812</v>
      </c>
      <c r="J500">
        <v>0.957753382837517</v>
      </c>
      <c r="K500">
        <v>0.852466568622182</v>
      </c>
      <c r="L500">
        <v>0.713813916512385</v>
      </c>
      <c r="M500">
        <v>0.0613902180736485</v>
      </c>
      <c r="N500">
        <v>0.300452605149601</v>
      </c>
    </row>
    <row r="501" spans="1:14">
      <c r="A501" t="s">
        <v>40</v>
      </c>
      <c r="B501">
        <v>2022</v>
      </c>
      <c r="C501">
        <v>0.708867817316571</v>
      </c>
      <c r="D501">
        <v>0.945498344259757</v>
      </c>
      <c r="E501">
        <v>0.402324455205811</v>
      </c>
      <c r="F501">
        <v>0.994560808773861</v>
      </c>
      <c r="G501">
        <v>0.120225154523882</v>
      </c>
      <c r="H501">
        <v>0.622953686728839</v>
      </c>
      <c r="I501">
        <v>0.171574392935982</v>
      </c>
      <c r="J501">
        <v>0.953528198067913</v>
      </c>
      <c r="K501">
        <v>0.846506911015603</v>
      </c>
      <c r="L501">
        <v>0.680883864337101</v>
      </c>
      <c r="M501">
        <v>0.074720964028549</v>
      </c>
      <c r="N501">
        <v>0.336037350757047</v>
      </c>
    </row>
    <row r="502" spans="1:14">
      <c r="A502" t="s">
        <v>59</v>
      </c>
      <c r="B502">
        <v>2003</v>
      </c>
      <c r="C502">
        <v>1</v>
      </c>
      <c r="D502">
        <v>1</v>
      </c>
      <c r="E502">
        <v>0.827858567155676</v>
      </c>
      <c r="F502">
        <v>1</v>
      </c>
      <c r="G502">
        <v>0.00431133193273044</v>
      </c>
      <c r="H502">
        <v>0.988734824317736</v>
      </c>
      <c r="I502">
        <v>0.624724061810154</v>
      </c>
      <c r="J502">
        <v>0.983906050604768</v>
      </c>
      <c r="K502">
        <v>1</v>
      </c>
      <c r="L502">
        <v>1</v>
      </c>
      <c r="M502">
        <v>0</v>
      </c>
      <c r="N502">
        <v>0.508617983618511</v>
      </c>
    </row>
    <row r="503" spans="1:14">
      <c r="A503" t="s">
        <v>59</v>
      </c>
      <c r="B503">
        <v>2004</v>
      </c>
      <c r="C503">
        <v>1</v>
      </c>
      <c r="D503">
        <v>1</v>
      </c>
      <c r="E503">
        <v>0.827858567155676</v>
      </c>
      <c r="F503">
        <v>1</v>
      </c>
      <c r="G503">
        <v>0.00431133193273044</v>
      </c>
      <c r="H503">
        <v>0.992984804427994</v>
      </c>
      <c r="I503">
        <v>0.536423841059603</v>
      </c>
      <c r="J503">
        <v>0.97988256325596</v>
      </c>
      <c r="K503">
        <v>1</v>
      </c>
      <c r="L503">
        <v>1</v>
      </c>
      <c r="M503">
        <v>0</v>
      </c>
      <c r="N503">
        <v>0.502342725160628</v>
      </c>
    </row>
    <row r="504" spans="1:14">
      <c r="A504" t="s">
        <v>59</v>
      </c>
      <c r="B504">
        <v>2005</v>
      </c>
      <c r="C504">
        <v>1</v>
      </c>
      <c r="D504">
        <v>1</v>
      </c>
      <c r="E504">
        <v>0.658859136875089</v>
      </c>
      <c r="F504">
        <v>0.997959011153552</v>
      </c>
      <c r="G504">
        <v>1</v>
      </c>
      <c r="H504">
        <v>0.993192666747473</v>
      </c>
      <c r="I504">
        <v>0.536423841059603</v>
      </c>
      <c r="J504">
        <v>0.97988256325596</v>
      </c>
      <c r="K504">
        <v>1</v>
      </c>
      <c r="L504">
        <v>1</v>
      </c>
      <c r="M504">
        <v>0.018363564410558</v>
      </c>
      <c r="N504">
        <v>0.498160722040353</v>
      </c>
    </row>
    <row r="505" spans="1:14">
      <c r="A505" t="s">
        <v>59</v>
      </c>
      <c r="B505">
        <v>2006</v>
      </c>
      <c r="C505">
        <v>1</v>
      </c>
      <c r="D505">
        <v>1</v>
      </c>
      <c r="E505">
        <v>0.731662156387979</v>
      </c>
      <c r="F505">
        <v>1</v>
      </c>
      <c r="G505">
        <v>0.00703032791091491</v>
      </c>
      <c r="H505">
        <v>0.994769770840637</v>
      </c>
      <c r="I505">
        <v>0.96710816777042</v>
      </c>
      <c r="J505">
        <v>0.986279908140565</v>
      </c>
      <c r="K505">
        <v>1</v>
      </c>
      <c r="L505">
        <v>1</v>
      </c>
      <c r="M505">
        <v>0.0180413966138816</v>
      </c>
      <c r="N505">
        <v>0.504562935207277</v>
      </c>
    </row>
    <row r="506" spans="1:14">
      <c r="A506" t="s">
        <v>59</v>
      </c>
      <c r="B506">
        <v>2007</v>
      </c>
      <c r="C506">
        <v>1</v>
      </c>
      <c r="D506">
        <v>1</v>
      </c>
      <c r="E506">
        <v>0.497080188007406</v>
      </c>
      <c r="F506">
        <v>1</v>
      </c>
      <c r="G506">
        <v>0</v>
      </c>
      <c r="H506">
        <v>0.990827010607727</v>
      </c>
      <c r="I506">
        <v>0.861810154525386</v>
      </c>
      <c r="J506">
        <v>0.98764789383916</v>
      </c>
      <c r="K506">
        <v>1</v>
      </c>
      <c r="L506">
        <v>1</v>
      </c>
      <c r="M506">
        <v>0.0177916887022708</v>
      </c>
      <c r="N506">
        <v>0.413792325661451</v>
      </c>
    </row>
    <row r="507" spans="1:14">
      <c r="A507" t="s">
        <v>59</v>
      </c>
      <c r="B507">
        <v>2008</v>
      </c>
      <c r="C507">
        <v>0.968675799086758</v>
      </c>
      <c r="D507">
        <v>1</v>
      </c>
      <c r="E507">
        <v>0.358923230309073</v>
      </c>
      <c r="F507">
        <v>1</v>
      </c>
      <c r="G507">
        <v>0.0074633088725814</v>
      </c>
      <c r="H507">
        <v>0.981364386048745</v>
      </c>
      <c r="I507">
        <v>0.826710816777042</v>
      </c>
      <c r="J507">
        <v>0.976502833882962</v>
      </c>
      <c r="K507">
        <v>1</v>
      </c>
      <c r="L507">
        <v>1</v>
      </c>
      <c r="M507">
        <v>0.0176088973799872</v>
      </c>
      <c r="N507">
        <v>0.361173311497654</v>
      </c>
    </row>
    <row r="508" spans="1:14">
      <c r="A508" t="s">
        <v>59</v>
      </c>
      <c r="B508">
        <v>2009</v>
      </c>
      <c r="C508">
        <v>0.965818389076577</v>
      </c>
      <c r="D508">
        <v>1</v>
      </c>
      <c r="E508">
        <v>0.264919527132887</v>
      </c>
      <c r="F508">
        <v>1</v>
      </c>
      <c r="G508">
        <v>0.0716032910829436</v>
      </c>
      <c r="H508">
        <v>0.97505596967609</v>
      </c>
      <c r="I508">
        <v>0.743046357615894</v>
      </c>
      <c r="J508">
        <v>0.974973908690415</v>
      </c>
      <c r="K508">
        <v>1</v>
      </c>
      <c r="L508">
        <v>1</v>
      </c>
      <c r="M508">
        <v>0</v>
      </c>
      <c r="N508">
        <v>0.318832550413461</v>
      </c>
    </row>
    <row r="509" spans="1:14">
      <c r="A509" t="s">
        <v>59</v>
      </c>
      <c r="B509">
        <v>2010</v>
      </c>
      <c r="C509">
        <v>0.961107611111111</v>
      </c>
      <c r="D509">
        <v>1</v>
      </c>
      <c r="E509">
        <v>0.287281014100556</v>
      </c>
      <c r="F509">
        <v>1</v>
      </c>
      <c r="G509">
        <v>0.18945963975984</v>
      </c>
      <c r="H509">
        <v>0.970324657396599</v>
      </c>
      <c r="I509">
        <v>0.688962472406181</v>
      </c>
      <c r="J509">
        <v>0.974812969196463</v>
      </c>
      <c r="K509">
        <v>1</v>
      </c>
      <c r="L509">
        <v>1</v>
      </c>
      <c r="M509">
        <v>0.0514179803495625</v>
      </c>
      <c r="N509">
        <v>0.346980610083696</v>
      </c>
    </row>
    <row r="510" spans="1:14">
      <c r="A510" t="s">
        <v>59</v>
      </c>
      <c r="B510">
        <v>2011</v>
      </c>
      <c r="C510">
        <v>0.956031803128371</v>
      </c>
      <c r="D510">
        <v>1</v>
      </c>
      <c r="E510">
        <v>0.235863837060248</v>
      </c>
      <c r="F510">
        <v>1</v>
      </c>
      <c r="G510">
        <v>0.201206601502451</v>
      </c>
      <c r="H510">
        <v>0.967170449210272</v>
      </c>
      <c r="I510">
        <v>0.585651214128035</v>
      </c>
      <c r="J510">
        <v>0.945763390538069</v>
      </c>
      <c r="K510">
        <v>0.998915727880693</v>
      </c>
      <c r="L510">
        <v>0.455503618623332</v>
      </c>
      <c r="M510">
        <v>0.0467088255149586</v>
      </c>
      <c r="N510">
        <v>0.306751839049732</v>
      </c>
    </row>
    <row r="511" spans="1:14">
      <c r="A511" t="s">
        <v>59</v>
      </c>
      <c r="B511">
        <v>2012</v>
      </c>
      <c r="C511">
        <v>0.949625277777778</v>
      </c>
      <c r="D511">
        <v>1</v>
      </c>
      <c r="E511">
        <v>1</v>
      </c>
      <c r="F511">
        <v>1</v>
      </c>
      <c r="G511">
        <v>0.237586962737063</v>
      </c>
      <c r="H511">
        <v>0.945879543952562</v>
      </c>
      <c r="I511">
        <v>0.588741721854305</v>
      </c>
      <c r="J511">
        <v>0.940653561605083</v>
      </c>
      <c r="K511">
        <v>0.998718587495365</v>
      </c>
      <c r="L511">
        <v>0.464466522020479</v>
      </c>
      <c r="M511">
        <v>0.0468148468706493</v>
      </c>
      <c r="N511">
        <v>0.579390015378685</v>
      </c>
    </row>
    <row r="512" spans="1:14">
      <c r="A512" t="s">
        <v>59</v>
      </c>
      <c r="B512">
        <v>2013</v>
      </c>
      <c r="C512">
        <v>0.944095688748686</v>
      </c>
      <c r="D512">
        <v>1</v>
      </c>
      <c r="E512">
        <v>0.874234439538527</v>
      </c>
      <c r="F512">
        <v>0</v>
      </c>
      <c r="G512">
        <v>0.260376482872639</v>
      </c>
      <c r="H512">
        <v>0.925377190741434</v>
      </c>
      <c r="I512">
        <v>0.537104415011037</v>
      </c>
      <c r="J512">
        <v>0.947973425080647</v>
      </c>
      <c r="K512">
        <v>0.998377223354454</v>
      </c>
      <c r="L512">
        <v>0.378962271794894</v>
      </c>
      <c r="M512">
        <v>0.0476062373268032</v>
      </c>
      <c r="N512">
        <v>0.529998848051375</v>
      </c>
    </row>
    <row r="513" spans="1:14">
      <c r="A513" t="s">
        <v>59</v>
      </c>
      <c r="B513">
        <v>2014</v>
      </c>
      <c r="C513">
        <v>0.940194871794871</v>
      </c>
      <c r="D513">
        <v>1</v>
      </c>
      <c r="E513">
        <v>0.610596781085315</v>
      </c>
      <c r="F513">
        <v>0.999925370781687</v>
      </c>
      <c r="G513">
        <v>0.114794478370195</v>
      </c>
      <c r="H513">
        <v>0.88516103636576</v>
      </c>
      <c r="I513">
        <v>0.451801030169243</v>
      </c>
      <c r="J513">
        <v>0.952671539494313</v>
      </c>
      <c r="K513">
        <v>0.997972047983555</v>
      </c>
      <c r="L513">
        <v>0.367047790339158</v>
      </c>
      <c r="M513">
        <v>0.0456591665504115</v>
      </c>
      <c r="N513">
        <v>0.423486249933699</v>
      </c>
    </row>
    <row r="514" spans="1:14">
      <c r="A514" t="s">
        <v>59</v>
      </c>
      <c r="B514">
        <v>2015</v>
      </c>
      <c r="C514">
        <v>0.928974747474748</v>
      </c>
      <c r="D514">
        <v>1</v>
      </c>
      <c r="E514">
        <v>0.285144566301097</v>
      </c>
      <c r="F514">
        <v>0.997817257844363</v>
      </c>
      <c r="G514">
        <v>0.00723289210350692</v>
      </c>
      <c r="H514">
        <v>0.921434430508525</v>
      </c>
      <c r="I514">
        <v>0.433829801324503</v>
      </c>
      <c r="J514">
        <v>0.962613152031775</v>
      </c>
      <c r="K514">
        <v>0.997476706825893</v>
      </c>
      <c r="L514">
        <v>0.353580722048501</v>
      </c>
      <c r="M514">
        <v>0.0582581298566709</v>
      </c>
      <c r="N514">
        <v>0.306521934703227</v>
      </c>
    </row>
    <row r="515" spans="1:14">
      <c r="A515" t="s">
        <v>59</v>
      </c>
      <c r="B515">
        <v>2016</v>
      </c>
      <c r="C515">
        <v>0.917612745098039</v>
      </c>
      <c r="D515">
        <v>1</v>
      </c>
      <c r="E515">
        <v>0.669562740350377</v>
      </c>
      <c r="F515">
        <v>0.997985225690122</v>
      </c>
      <c r="G515">
        <v>0.00521916571832118</v>
      </c>
      <c r="H515">
        <v>0.908817597763215</v>
      </c>
      <c r="I515">
        <v>0.281194260485651</v>
      </c>
      <c r="J515">
        <v>0.962067768321644</v>
      </c>
      <c r="K515">
        <v>0.997997468717452</v>
      </c>
      <c r="L515">
        <v>0.344538593527385</v>
      </c>
      <c r="M515">
        <v>0.0225785425476168</v>
      </c>
      <c r="N515">
        <v>0.419230565137061</v>
      </c>
    </row>
    <row r="516" spans="1:14">
      <c r="A516" t="s">
        <v>59</v>
      </c>
      <c r="B516">
        <v>2017</v>
      </c>
      <c r="C516">
        <v>0.904995224450812</v>
      </c>
      <c r="D516">
        <v>1</v>
      </c>
      <c r="E516">
        <v>0.615724255804016</v>
      </c>
      <c r="F516">
        <v>0.995506158954248</v>
      </c>
      <c r="G516">
        <v>0.00623404108486082</v>
      </c>
      <c r="H516">
        <v>0.843367777896922</v>
      </c>
      <c r="I516">
        <v>0.217051655629139</v>
      </c>
      <c r="J516">
        <v>0.959535908437659</v>
      </c>
      <c r="K516">
        <v>0.997995704829794</v>
      </c>
      <c r="L516">
        <v>0.344538593527385</v>
      </c>
      <c r="M516">
        <v>0.0173259440948669</v>
      </c>
      <c r="N516">
        <v>0.392892328806038</v>
      </c>
    </row>
    <row r="517" spans="1:14">
      <c r="A517" t="s">
        <v>59</v>
      </c>
      <c r="B517">
        <v>2018</v>
      </c>
      <c r="C517">
        <v>0.888573446327684</v>
      </c>
      <c r="D517">
        <v>1</v>
      </c>
      <c r="E517">
        <v>0.640258510183734</v>
      </c>
      <c r="F517">
        <v>0.995953703808324</v>
      </c>
      <c r="G517">
        <v>0.0142682186134032</v>
      </c>
      <c r="H517">
        <v>0.884589336131988</v>
      </c>
      <c r="I517">
        <v>0.191806843267108</v>
      </c>
      <c r="J517">
        <v>0.941732701146907</v>
      </c>
      <c r="K517">
        <v>0.992764325309858</v>
      </c>
      <c r="L517">
        <v>0.347339710649064</v>
      </c>
      <c r="M517">
        <v>0.0209593631763895</v>
      </c>
      <c r="N517">
        <v>0.400245320974476</v>
      </c>
    </row>
    <row r="518" spans="1:14">
      <c r="A518" t="s">
        <v>59</v>
      </c>
      <c r="B518">
        <v>2019</v>
      </c>
      <c r="C518">
        <v>0.876481994459834</v>
      </c>
      <c r="D518">
        <v>1</v>
      </c>
      <c r="E518">
        <v>0.568209229454494</v>
      </c>
      <c r="F518">
        <v>0.995438632903556</v>
      </c>
      <c r="G518">
        <v>0.011245592299628</v>
      </c>
      <c r="H518">
        <v>0.907832637115631</v>
      </c>
      <c r="I518">
        <v>0.239923620309051</v>
      </c>
      <c r="J518">
        <v>0.947990994308737</v>
      </c>
      <c r="K518">
        <v>0.985955511433001</v>
      </c>
      <c r="L518">
        <v>0.352870730050343</v>
      </c>
      <c r="M518">
        <v>0.0120782402593986</v>
      </c>
      <c r="N518">
        <v>0.375088507904194</v>
      </c>
    </row>
    <row r="519" spans="1:14">
      <c r="A519" t="s">
        <v>59</v>
      </c>
      <c r="B519">
        <v>2020</v>
      </c>
      <c r="C519">
        <v>0.871921675774134</v>
      </c>
      <c r="D519">
        <v>1</v>
      </c>
      <c r="E519">
        <v>0.524141860133884</v>
      </c>
      <c r="F519">
        <v>0.995348110067556</v>
      </c>
      <c r="G519">
        <v>0.0108348094131714</v>
      </c>
      <c r="H519">
        <v>0.920369929148275</v>
      </c>
      <c r="I519">
        <v>0.150110375275938</v>
      </c>
      <c r="J519">
        <v>0.950913454344544</v>
      </c>
      <c r="K519">
        <v>0.987549028295041</v>
      </c>
      <c r="L519">
        <v>0.350116988476089</v>
      </c>
      <c r="M519">
        <v>0.00709455739795878</v>
      </c>
      <c r="N519">
        <v>0.351788006109802</v>
      </c>
    </row>
    <row r="520" spans="1:14">
      <c r="A520" t="s">
        <v>59</v>
      </c>
      <c r="B520">
        <v>2021</v>
      </c>
      <c r="C520">
        <v>0.842244990892532</v>
      </c>
      <c r="D520">
        <v>1</v>
      </c>
      <c r="E520">
        <v>0.454510753453924</v>
      </c>
      <c r="F520">
        <v>0.995345038340796</v>
      </c>
      <c r="G520">
        <v>0.00818834975529385</v>
      </c>
      <c r="H520">
        <v>0.922740157660617</v>
      </c>
      <c r="I520">
        <v>0.163355408388521</v>
      </c>
      <c r="J520">
        <v>0.948499361935259</v>
      </c>
      <c r="K520">
        <v>0.985673808198176</v>
      </c>
      <c r="L520">
        <v>1</v>
      </c>
      <c r="M520">
        <v>0.0153691995908255</v>
      </c>
      <c r="N520">
        <v>0.343780382258385</v>
      </c>
    </row>
    <row r="521" spans="1:14">
      <c r="A521" t="s">
        <v>59</v>
      </c>
      <c r="B521">
        <v>2022</v>
      </c>
      <c r="C521">
        <v>0.813108974358974</v>
      </c>
      <c r="D521">
        <v>1</v>
      </c>
      <c r="E521">
        <v>0.36661729098419</v>
      </c>
      <c r="F521">
        <v>0.995295576835385</v>
      </c>
      <c r="G521">
        <v>0.0301498934392835</v>
      </c>
      <c r="H521">
        <v>0.886948014103887</v>
      </c>
      <c r="I521">
        <v>0.175079028697572</v>
      </c>
      <c r="J521">
        <v>0.946450240063384</v>
      </c>
      <c r="K521">
        <v>0.975377995937248</v>
      </c>
      <c r="L521">
        <v>1</v>
      </c>
      <c r="M521">
        <v>0.0240562693778311</v>
      </c>
      <c r="N521">
        <v>0.316270299085969</v>
      </c>
    </row>
    <row r="522" spans="1:14">
      <c r="A522" t="s">
        <v>41</v>
      </c>
      <c r="B522">
        <v>2003</v>
      </c>
      <c r="C522">
        <v>0.937087086964415</v>
      </c>
      <c r="D522">
        <v>0.946848484444663</v>
      </c>
      <c r="E522">
        <v>0.317430850306224</v>
      </c>
      <c r="F522">
        <v>0.991850469876647</v>
      </c>
      <c r="G522">
        <v>0.893126268700853</v>
      </c>
      <c r="H522">
        <v>0.965438236929546</v>
      </c>
      <c r="I522">
        <v>0.680573951434879</v>
      </c>
      <c r="J522">
        <v>0.761246260721739</v>
      </c>
      <c r="K522">
        <v>0.993456703094751</v>
      </c>
      <c r="L522">
        <v>0.984528913445755</v>
      </c>
      <c r="M522">
        <v>0.16106486306449</v>
      </c>
      <c r="N522">
        <v>0.412407071835121</v>
      </c>
    </row>
    <row r="523" spans="1:14">
      <c r="A523" t="s">
        <v>41</v>
      </c>
      <c r="B523">
        <v>2004</v>
      </c>
      <c r="C523">
        <v>0.925916596939238</v>
      </c>
      <c r="D523">
        <v>0.904845753244048</v>
      </c>
      <c r="E523">
        <v>0.331484831220624</v>
      </c>
      <c r="F523">
        <v>0.992843737758818</v>
      </c>
      <c r="G523">
        <v>0.863120417269821</v>
      </c>
      <c r="H523">
        <v>0.94461920121651</v>
      </c>
      <c r="I523">
        <v>0.649227373068433</v>
      </c>
      <c r="J523">
        <v>0.716867195264388</v>
      </c>
      <c r="K523">
        <v>0.992989272865328</v>
      </c>
      <c r="L523">
        <v>0.981124024761095</v>
      </c>
      <c r="M523">
        <v>0.156446992641973</v>
      </c>
      <c r="N523">
        <v>0.407304725297087</v>
      </c>
    </row>
    <row r="524" spans="1:14">
      <c r="A524" t="s">
        <v>41</v>
      </c>
      <c r="B524">
        <v>2005</v>
      </c>
      <c r="C524">
        <v>0.919992740243903</v>
      </c>
      <c r="D524">
        <v>0.945659451262016</v>
      </c>
      <c r="E524">
        <v>0.28738270901581</v>
      </c>
      <c r="F524">
        <v>0.991728974752443</v>
      </c>
      <c r="G524">
        <v>0.773219278003289</v>
      </c>
      <c r="H524">
        <v>0.918280222322198</v>
      </c>
      <c r="I524">
        <v>0.649227373068433</v>
      </c>
      <c r="J524">
        <v>0.716867195264388</v>
      </c>
      <c r="K524">
        <v>0.993456703094751</v>
      </c>
      <c r="L524">
        <v>0.976715888577073</v>
      </c>
      <c r="M524">
        <v>0.16999982662999</v>
      </c>
      <c r="N524">
        <v>0.392528505086485</v>
      </c>
    </row>
    <row r="525" spans="1:14">
      <c r="A525" t="s">
        <v>41</v>
      </c>
      <c r="B525">
        <v>2006</v>
      </c>
      <c r="C525">
        <v>0.910250543345048</v>
      </c>
      <c r="D525">
        <v>0.917849524762195</v>
      </c>
      <c r="E525">
        <v>0.409628258082894</v>
      </c>
      <c r="F525">
        <v>0.989230126475876</v>
      </c>
      <c r="G525">
        <v>0.928648084230066</v>
      </c>
      <c r="H525">
        <v>0.920645878461943</v>
      </c>
      <c r="I525">
        <v>0.56953642384106</v>
      </c>
      <c r="J525">
        <v>0.676632321776308</v>
      </c>
      <c r="K525">
        <v>0.990652432992502</v>
      </c>
      <c r="L525">
        <v>0.969999945235387</v>
      </c>
      <c r="M525">
        <v>0.189046913423642</v>
      </c>
      <c r="N525">
        <v>0.440847695644758</v>
      </c>
    </row>
    <row r="526" spans="1:14">
      <c r="A526" t="s">
        <v>41</v>
      </c>
      <c r="B526">
        <v>2007</v>
      </c>
      <c r="C526">
        <v>0.899220408486156</v>
      </c>
      <c r="D526">
        <v>0.880835114892822</v>
      </c>
      <c r="E526">
        <v>0.196980487110098</v>
      </c>
      <c r="F526">
        <v>0.989509542144283</v>
      </c>
      <c r="G526">
        <v>0.916223218579828</v>
      </c>
      <c r="H526">
        <v>0.849676194269577</v>
      </c>
      <c r="I526">
        <v>0.49690949227373</v>
      </c>
      <c r="J526">
        <v>0.65502619471321</v>
      </c>
      <c r="K526">
        <v>0.984109136087253</v>
      </c>
      <c r="L526">
        <v>0.962849805791801</v>
      </c>
      <c r="M526">
        <v>0.113707507784901</v>
      </c>
      <c r="N526">
        <v>0.329455917795523</v>
      </c>
    </row>
    <row r="527" spans="1:14">
      <c r="A527" t="s">
        <v>41</v>
      </c>
      <c r="B527">
        <v>2008</v>
      </c>
      <c r="C527">
        <v>0.891136185135378</v>
      </c>
      <c r="D527">
        <v>0.851649789622596</v>
      </c>
      <c r="E527">
        <v>0.148839196695627</v>
      </c>
      <c r="F527">
        <v>0.988519669353346</v>
      </c>
      <c r="G527">
        <v>0.929732088405708</v>
      </c>
      <c r="H527">
        <v>0.83390515333794</v>
      </c>
      <c r="I527">
        <v>0.534657836644592</v>
      </c>
      <c r="J527">
        <v>0.59805361385409</v>
      </c>
      <c r="K527">
        <v>0.984540043466342</v>
      </c>
      <c r="L527">
        <v>0.954017649790989</v>
      </c>
      <c r="M527">
        <v>0.114784625309674</v>
      </c>
      <c r="N527">
        <v>0.310526635488691</v>
      </c>
    </row>
    <row r="528" spans="1:14">
      <c r="A528" t="s">
        <v>41</v>
      </c>
      <c r="B528">
        <v>2009</v>
      </c>
      <c r="C528">
        <v>0.886477491548162</v>
      </c>
      <c r="D528">
        <v>0.856580258753058</v>
      </c>
      <c r="E528">
        <v>0.147557328015952</v>
      </c>
      <c r="F528">
        <v>0.988309777257744</v>
      </c>
      <c r="G528">
        <v>0.921376155532259</v>
      </c>
      <c r="H528">
        <v>0.796843207148593</v>
      </c>
      <c r="I528">
        <v>0.517880794701987</v>
      </c>
      <c r="J528">
        <v>0.595357877330389</v>
      </c>
      <c r="K528">
        <v>0.978937106199111</v>
      </c>
      <c r="L528">
        <v>0.949899421122443</v>
      </c>
      <c r="M528">
        <v>0.0869152874167543</v>
      </c>
      <c r="N528">
        <v>0.297895197593812</v>
      </c>
    </row>
    <row r="529" spans="1:14">
      <c r="A529" t="s">
        <v>41</v>
      </c>
      <c r="B529">
        <v>2010</v>
      </c>
      <c r="C529">
        <v>0.868490647032575</v>
      </c>
      <c r="D529">
        <v>0.830610947953252</v>
      </c>
      <c r="E529">
        <v>0.136875089018658</v>
      </c>
      <c r="F529">
        <v>0.988280592138495</v>
      </c>
      <c r="G529">
        <v>0.928246738135501</v>
      </c>
      <c r="H529">
        <v>0.841002121757177</v>
      </c>
      <c r="I529">
        <v>0.493598233995585</v>
      </c>
      <c r="J529">
        <v>0.594030126505282</v>
      </c>
      <c r="K529">
        <v>0.98083743575558</v>
      </c>
      <c r="L529">
        <v>0.939785359697012</v>
      </c>
      <c r="M529">
        <v>0.0991189982642168</v>
      </c>
      <c r="N529">
        <v>0.296318476212814</v>
      </c>
    </row>
    <row r="530" spans="1:14">
      <c r="A530" t="s">
        <v>41</v>
      </c>
      <c r="B530">
        <v>2011</v>
      </c>
      <c r="C530">
        <v>0.850824881540505</v>
      </c>
      <c r="D530">
        <v>0.822611940173226</v>
      </c>
      <c r="E530">
        <v>0.112662013958126</v>
      </c>
      <c r="F530">
        <v>0.988038669863228</v>
      </c>
      <c r="G530">
        <v>0.919369486358166</v>
      </c>
      <c r="H530">
        <v>0.875698411806778</v>
      </c>
      <c r="I530">
        <v>0.398013245033113</v>
      </c>
      <c r="J530">
        <v>0.542609958187517</v>
      </c>
      <c r="K530">
        <v>0.945083017891424</v>
      </c>
      <c r="L530">
        <v>0.93131295741841</v>
      </c>
      <c r="M530">
        <v>0.116921619379746</v>
      </c>
      <c r="N530">
        <v>0.281990344205828</v>
      </c>
    </row>
    <row r="531" spans="1:14">
      <c r="A531" t="s">
        <v>41</v>
      </c>
      <c r="B531">
        <v>2012</v>
      </c>
      <c r="C531">
        <v>0.838969168515095</v>
      </c>
      <c r="D531">
        <v>0.815374468647115</v>
      </c>
      <c r="E531">
        <v>0.0838911835920809</v>
      </c>
      <c r="F531">
        <v>0.986647159312775</v>
      </c>
      <c r="G531">
        <v>0.931828031339628</v>
      </c>
      <c r="H531">
        <v>0.855984610642232</v>
      </c>
      <c r="I531">
        <v>0.387637969094923</v>
      </c>
      <c r="J531">
        <v>0.540960328374506</v>
      </c>
      <c r="K531">
        <v>0.942044980795414</v>
      </c>
      <c r="L531">
        <v>0.921178003575531</v>
      </c>
      <c r="M531">
        <v>0.131339199713605</v>
      </c>
      <c r="N531">
        <v>0.275803536171293</v>
      </c>
    </row>
    <row r="532" spans="1:14">
      <c r="A532" t="s">
        <v>41</v>
      </c>
      <c r="B532">
        <v>2013</v>
      </c>
      <c r="C532">
        <v>0.826876971608833</v>
      </c>
      <c r="D532">
        <v>0.804549576025764</v>
      </c>
      <c r="E532">
        <v>0.0890186583107819</v>
      </c>
      <c r="F532">
        <v>0.986975904238207</v>
      </c>
      <c r="G532">
        <v>0.936909256343814</v>
      </c>
      <c r="H532">
        <v>0.803151623521248</v>
      </c>
      <c r="I532">
        <v>0.4261863870493</v>
      </c>
      <c r="J532">
        <v>0.575397638237067</v>
      </c>
      <c r="K532">
        <v>0.937367323656023</v>
      </c>
      <c r="L532">
        <v>0.914050704527118</v>
      </c>
      <c r="M532">
        <v>0.133815158691544</v>
      </c>
      <c r="N532">
        <v>0.282721078369186</v>
      </c>
    </row>
    <row r="533" spans="1:14">
      <c r="A533" t="s">
        <v>41</v>
      </c>
      <c r="B533">
        <v>2014</v>
      </c>
      <c r="C533">
        <v>0.816863513631217</v>
      </c>
      <c r="D533">
        <v>0.79547418887591</v>
      </c>
      <c r="E533">
        <v>0.0700754878222476</v>
      </c>
      <c r="F533">
        <v>0.985501209187313</v>
      </c>
      <c r="G533">
        <v>0.935100021432086</v>
      </c>
      <c r="H533">
        <v>0.728239179095973</v>
      </c>
      <c r="I533">
        <v>0.432085994603876</v>
      </c>
      <c r="J533">
        <v>0.592008645991494</v>
      </c>
      <c r="K533">
        <v>0.927637972964283</v>
      </c>
      <c r="L533">
        <v>0.892197794283245</v>
      </c>
      <c r="M533">
        <v>0.146832124392012</v>
      </c>
      <c r="N533">
        <v>0.280356781026789</v>
      </c>
    </row>
    <row r="534" spans="1:14">
      <c r="A534" t="s">
        <v>41</v>
      </c>
      <c r="B534">
        <v>2015</v>
      </c>
      <c r="C534">
        <v>0.818362801178714</v>
      </c>
      <c r="D534">
        <v>0.775001941106502</v>
      </c>
      <c r="E534">
        <v>0.0750605326876513</v>
      </c>
      <c r="F534">
        <v>0.985086267048981</v>
      </c>
      <c r="G534">
        <v>0.919704228759117</v>
      </c>
      <c r="H534">
        <v>0.756627052772919</v>
      </c>
      <c r="I534">
        <v>0.503283222958057</v>
      </c>
      <c r="J534">
        <v>0.64427225796219</v>
      </c>
      <c r="K534">
        <v>0.928012009377242</v>
      </c>
      <c r="L534">
        <v>0.878382614331936</v>
      </c>
      <c r="M534">
        <v>0.181405468945705</v>
      </c>
      <c r="N534">
        <v>0.30192959314908</v>
      </c>
    </row>
    <row r="535" spans="1:14">
      <c r="A535" t="s">
        <v>41</v>
      </c>
      <c r="B535">
        <v>2016</v>
      </c>
      <c r="C535">
        <v>0.799754345207365</v>
      </c>
      <c r="D535">
        <v>0.773924294382199</v>
      </c>
      <c r="E535">
        <v>0.0760575416607321</v>
      </c>
      <c r="F535">
        <v>0.984785541224344</v>
      </c>
      <c r="G535">
        <v>0.919345137195289</v>
      </c>
      <c r="H535">
        <v>0.66278935922968</v>
      </c>
      <c r="I535">
        <v>0.443885209713024</v>
      </c>
      <c r="J535">
        <v>0.625230661500348</v>
      </c>
      <c r="K535">
        <v>0.908179271580802</v>
      </c>
      <c r="L535">
        <v>0.86789132510282</v>
      </c>
      <c r="M535">
        <v>0.0289528090693175</v>
      </c>
      <c r="N535">
        <v>0.240823053511091</v>
      </c>
    </row>
    <row r="536" spans="1:14">
      <c r="A536" t="s">
        <v>41</v>
      </c>
      <c r="B536">
        <v>2017</v>
      </c>
      <c r="C536">
        <v>0.781085638661202</v>
      </c>
      <c r="D536">
        <v>0.770322772416284</v>
      </c>
      <c r="E536">
        <v>0.0910126762569435</v>
      </c>
      <c r="F536">
        <v>0.984047113821652</v>
      </c>
      <c r="G536">
        <v>0.890344837434946</v>
      </c>
      <c r="H536">
        <v>0.659635151043352</v>
      </c>
      <c r="I536">
        <v>0.395343046357616</v>
      </c>
      <c r="J536">
        <v>0.605405168998338</v>
      </c>
      <c r="K536">
        <v>0.892866444029458</v>
      </c>
      <c r="L536">
        <v>0.862389589157716</v>
      </c>
      <c r="M536">
        <v>0.0248568530516725</v>
      </c>
      <c r="N536">
        <v>0.237497014815844</v>
      </c>
    </row>
    <row r="537" spans="1:14">
      <c r="A537" t="s">
        <v>41</v>
      </c>
      <c r="B537">
        <v>2018</v>
      </c>
      <c r="C537">
        <v>0.768192147884338</v>
      </c>
      <c r="D537">
        <v>0.749305140397069</v>
      </c>
      <c r="E537">
        <v>0.0542049565588947</v>
      </c>
      <c r="F537">
        <v>0.982979283568525</v>
      </c>
      <c r="G537">
        <v>0.878223054771344</v>
      </c>
      <c r="H537">
        <v>0.702808375593708</v>
      </c>
      <c r="I537">
        <v>0.336896247240618</v>
      </c>
      <c r="J537">
        <v>0.536720417641206</v>
      </c>
      <c r="K537">
        <v>0.879014219217203</v>
      </c>
      <c r="L537">
        <v>0.859504217919125</v>
      </c>
      <c r="M537">
        <v>0.0223277772721199</v>
      </c>
      <c r="N537">
        <v>0.213066505409346</v>
      </c>
    </row>
    <row r="538" spans="1:14">
      <c r="A538" t="s">
        <v>41</v>
      </c>
      <c r="B538">
        <v>2019</v>
      </c>
      <c r="C538">
        <v>0.722863421230561</v>
      </c>
      <c r="D538">
        <v>0.70484618329766</v>
      </c>
      <c r="E538">
        <v>0.0312647770972795</v>
      </c>
      <c r="F538">
        <v>0.982631430163602</v>
      </c>
      <c r="G538">
        <v>0.86225634903701</v>
      </c>
      <c r="H538">
        <v>0.749651324230844</v>
      </c>
      <c r="I538">
        <v>0.316817439293598</v>
      </c>
      <c r="J538">
        <v>0.514459387542342</v>
      </c>
      <c r="K538">
        <v>0.875630356382088</v>
      </c>
      <c r="L538">
        <v>0.856341253127164</v>
      </c>
      <c r="M538">
        <v>0.0206232512968999</v>
      </c>
      <c r="N538">
        <v>0.198890817193933</v>
      </c>
    </row>
    <row r="539" spans="1:14">
      <c r="A539" t="s">
        <v>41</v>
      </c>
      <c r="B539">
        <v>2020</v>
      </c>
      <c r="C539">
        <v>0.748351032448378</v>
      </c>
      <c r="D539">
        <v>0.725422610389466</v>
      </c>
      <c r="E539">
        <v>0.0196553197550206</v>
      </c>
      <c r="F539">
        <v>0.982279796954315</v>
      </c>
      <c r="G539">
        <v>0.858933160716653</v>
      </c>
      <c r="H539">
        <v>0.695768333732404</v>
      </c>
      <c r="I539">
        <v>0.306843267108168</v>
      </c>
      <c r="J539">
        <v>0.503904009891985</v>
      </c>
      <c r="K539">
        <v>0.846438015638836</v>
      </c>
      <c r="L539">
        <v>0.848860325609326</v>
      </c>
      <c r="M539">
        <v>0.0385212328130857</v>
      </c>
      <c r="N539">
        <v>0.199061711865122</v>
      </c>
    </row>
    <row r="540" spans="1:14">
      <c r="A540" t="s">
        <v>41</v>
      </c>
      <c r="B540">
        <v>2021</v>
      </c>
      <c r="C540">
        <v>0.679467627718766</v>
      </c>
      <c r="D540">
        <v>0.677289971751681</v>
      </c>
      <c r="E540">
        <v>0.0174576271186441</v>
      </c>
      <c r="F540">
        <v>0.982146320548568</v>
      </c>
      <c r="G540">
        <v>0.834427190381256</v>
      </c>
      <c r="H540">
        <v>0.691748049754125</v>
      </c>
      <c r="I540">
        <v>0.275938189845475</v>
      </c>
      <c r="J540">
        <v>0.468094972487595</v>
      </c>
      <c r="K540">
        <v>0.76768302565253</v>
      </c>
      <c r="L540">
        <v>0.990447935710641</v>
      </c>
      <c r="M540">
        <v>0.0328729166731561</v>
      </c>
      <c r="N540">
        <v>0.188920691157515</v>
      </c>
    </row>
    <row r="541" spans="1:14">
      <c r="A541" t="s">
        <v>41</v>
      </c>
      <c r="B541">
        <v>2022</v>
      </c>
      <c r="C541">
        <v>0.65665318503539</v>
      </c>
      <c r="D541">
        <v>0.600261260788371</v>
      </c>
      <c r="E541">
        <v>0.0137743911123772</v>
      </c>
      <c r="F541">
        <v>0.982193637014694</v>
      </c>
      <c r="G541">
        <v>0.832647555791452</v>
      </c>
      <c r="H541">
        <v>0.565499071984219</v>
      </c>
      <c r="I541">
        <v>0.270392273730684</v>
      </c>
      <c r="J541">
        <v>0.459577491179409</v>
      </c>
      <c r="K541">
        <v>0.761095839072021</v>
      </c>
      <c r="L541">
        <v>0.994712576648152</v>
      </c>
      <c r="M541">
        <v>0.0269437495613355</v>
      </c>
      <c r="N541">
        <v>0.180872941741948</v>
      </c>
    </row>
    <row r="542" spans="1:14">
      <c r="A542" t="s">
        <v>42</v>
      </c>
      <c r="B542">
        <v>2003</v>
      </c>
      <c r="C542">
        <v>0.910241348048877</v>
      </c>
      <c r="D542">
        <v>0.968949787807945</v>
      </c>
      <c r="E542">
        <v>0.588262925509187</v>
      </c>
      <c r="F542">
        <v>0.995638387799564</v>
      </c>
      <c r="G542">
        <v>0.749553421989851</v>
      </c>
      <c r="H542">
        <v>0.968825225680024</v>
      </c>
      <c r="I542">
        <v>0.586975717439294</v>
      </c>
      <c r="J542">
        <v>0.992113964796337</v>
      </c>
      <c r="K542">
        <v>0.988471334024086</v>
      </c>
      <c r="L542">
        <v>0.983200262735478</v>
      </c>
      <c r="M542">
        <v>0.107019118422479</v>
      </c>
      <c r="N542">
        <v>0.493204817491037</v>
      </c>
    </row>
    <row r="543" spans="1:14">
      <c r="A543" t="s">
        <v>42</v>
      </c>
      <c r="B543">
        <v>2004</v>
      </c>
      <c r="C543">
        <v>0.898369028007346</v>
      </c>
      <c r="D543">
        <v>0.964119216493176</v>
      </c>
      <c r="E543">
        <v>0.495655889474434</v>
      </c>
      <c r="F543">
        <v>0.994217276099629</v>
      </c>
      <c r="G543">
        <v>0.699248221618772</v>
      </c>
      <c r="H543">
        <v>0.965793085350507</v>
      </c>
      <c r="I543">
        <v>0.512582781456954</v>
      </c>
      <c r="J543">
        <v>0.985475210670803</v>
      </c>
      <c r="K543">
        <v>0.983283429147019</v>
      </c>
      <c r="L543">
        <v>0.980806384353409</v>
      </c>
      <c r="M543">
        <v>0.0930825303455283</v>
      </c>
      <c r="N543">
        <v>0.446815518990305</v>
      </c>
    </row>
    <row r="544" spans="1:14">
      <c r="A544" t="s">
        <v>42</v>
      </c>
      <c r="B544">
        <v>2005</v>
      </c>
      <c r="C544">
        <v>0.890050934446627</v>
      </c>
      <c r="D544">
        <v>0.959597816467943</v>
      </c>
      <c r="E544">
        <v>0.635856003418316</v>
      </c>
      <c r="F544">
        <v>0.998643147263159</v>
      </c>
      <c r="G544">
        <v>0.65817870598749</v>
      </c>
      <c r="H544">
        <v>0.970324657396599</v>
      </c>
      <c r="I544">
        <v>0.512582781456954</v>
      </c>
      <c r="J544">
        <v>0.985475210670803</v>
      </c>
      <c r="K544">
        <v>0.991929902689431</v>
      </c>
      <c r="L544">
        <v>0.979319215679033</v>
      </c>
      <c r="M544">
        <v>0.0929362316730796</v>
      </c>
      <c r="N544">
        <v>0.494434552681163</v>
      </c>
    </row>
    <row r="545" spans="1:14">
      <c r="A545" t="s">
        <v>42</v>
      </c>
      <c r="B545">
        <v>2006</v>
      </c>
      <c r="C545">
        <v>0.879621207499018</v>
      </c>
      <c r="D545">
        <v>0.949767735456726</v>
      </c>
      <c r="E545">
        <v>0.611593790058396</v>
      </c>
      <c r="F545">
        <v>0.98801723553619</v>
      </c>
      <c r="G545">
        <v>0.674641317273898</v>
      </c>
      <c r="H545">
        <v>0.971901761489763</v>
      </c>
      <c r="I545">
        <v>0.650331125827814</v>
      </c>
      <c r="J545">
        <v>0.98450957370709</v>
      </c>
      <c r="K545">
        <v>0.994812095122934</v>
      </c>
      <c r="L545">
        <v>0.975766200226632</v>
      </c>
      <c r="M545">
        <v>0.167557611661315</v>
      </c>
      <c r="N545">
        <v>0.521944964612353</v>
      </c>
    </row>
    <row r="546" spans="1:14">
      <c r="A546" t="s">
        <v>42</v>
      </c>
      <c r="B546">
        <v>2007</v>
      </c>
      <c r="C546">
        <v>0.862077743589744</v>
      </c>
      <c r="D546">
        <v>0.945592583500923</v>
      </c>
      <c r="E546">
        <v>0.506195698618431</v>
      </c>
      <c r="F546">
        <v>0.987371023799762</v>
      </c>
      <c r="G546">
        <v>0.68366007445824</v>
      </c>
      <c r="H546">
        <v>0.932474159160671</v>
      </c>
      <c r="I546">
        <v>0.556953642384106</v>
      </c>
      <c r="J546">
        <v>0.98491192244197</v>
      </c>
      <c r="K546">
        <v>0.994235615132994</v>
      </c>
      <c r="L546">
        <v>0.971645196671664</v>
      </c>
      <c r="M546">
        <v>0.175563747661379</v>
      </c>
      <c r="N546">
        <v>0.480596443235993</v>
      </c>
    </row>
    <row r="547" spans="1:14">
      <c r="A547" t="s">
        <v>42</v>
      </c>
      <c r="B547">
        <v>2008</v>
      </c>
      <c r="C547">
        <v>0.848117354566837</v>
      </c>
      <c r="D547">
        <v>0.949678902951926</v>
      </c>
      <c r="E547">
        <v>0.493946731234867</v>
      </c>
      <c r="F547">
        <v>0.986729291501932</v>
      </c>
      <c r="G547">
        <v>0.677064014697691</v>
      </c>
      <c r="H547">
        <v>0.897777869111069</v>
      </c>
      <c r="I547">
        <v>0.658278145695364</v>
      </c>
      <c r="J547">
        <v>0.975738371286688</v>
      </c>
      <c r="K547">
        <v>0.98671896351471</v>
      </c>
      <c r="L547">
        <v>0.967104748565244</v>
      </c>
      <c r="M547">
        <v>0.179388484951434</v>
      </c>
      <c r="N547">
        <v>0.482713338825643</v>
      </c>
    </row>
    <row r="548" spans="1:14">
      <c r="A548" t="s">
        <v>42</v>
      </c>
      <c r="B548">
        <v>2009</v>
      </c>
      <c r="C548">
        <v>0.842145560273973</v>
      </c>
      <c r="D548">
        <v>0.948000666638839</v>
      </c>
      <c r="E548">
        <v>0.384133314342686</v>
      </c>
      <c r="F548">
        <v>0.987190950359781</v>
      </c>
      <c r="G548">
        <v>0.626171235369034</v>
      </c>
      <c r="H548">
        <v>0.856773162688814</v>
      </c>
      <c r="I548">
        <v>0.600220750551876</v>
      </c>
      <c r="J548">
        <v>0.978755986798294</v>
      </c>
      <c r="K548">
        <v>0.978625831906487</v>
      </c>
      <c r="L548">
        <v>0.963618047869397</v>
      </c>
      <c r="M548">
        <v>0.199232096070712</v>
      </c>
      <c r="N548">
        <v>0.443723422363356</v>
      </c>
    </row>
    <row r="549" spans="1:14">
      <c r="A549" t="s">
        <v>42</v>
      </c>
      <c r="B549">
        <v>2010</v>
      </c>
      <c r="C549">
        <v>0.820364915364583</v>
      </c>
      <c r="D549">
        <v>0.940670366658171</v>
      </c>
      <c r="E549">
        <v>0.366187152827233</v>
      </c>
      <c r="F549">
        <v>0.985598789185573</v>
      </c>
      <c r="G549">
        <v>0.675212046125988</v>
      </c>
      <c r="H549">
        <v>0.785803478496447</v>
      </c>
      <c r="I549">
        <v>0.584105960264901</v>
      </c>
      <c r="J549">
        <v>0.978152463695973</v>
      </c>
      <c r="K549">
        <v>0.97521333183645</v>
      </c>
      <c r="L549">
        <v>0.958367670215073</v>
      </c>
      <c r="M549">
        <v>0.198842970883074</v>
      </c>
      <c r="N549">
        <v>0.437045638445382</v>
      </c>
    </row>
    <row r="550" spans="1:14">
      <c r="A550" t="s">
        <v>42</v>
      </c>
      <c r="B550">
        <v>2011</v>
      </c>
      <c r="C550">
        <v>0.7931412294279</v>
      </c>
      <c r="D550">
        <v>0.934830187065131</v>
      </c>
      <c r="E550">
        <v>0.347243982338698</v>
      </c>
      <c r="F550">
        <v>0.984495580852526</v>
      </c>
      <c r="G550">
        <v>0.668318204645794</v>
      </c>
      <c r="H550">
        <v>0.818922664452885</v>
      </c>
      <c r="I550">
        <v>0.54083885209713</v>
      </c>
      <c r="J550">
        <v>0.979238805280151</v>
      </c>
      <c r="K550">
        <v>0.96771971451582</v>
      </c>
      <c r="L550">
        <v>0.951573175295759</v>
      </c>
      <c r="M550">
        <v>0.193502462099216</v>
      </c>
      <c r="N550">
        <v>0.42457701582382</v>
      </c>
    </row>
    <row r="551" spans="1:14">
      <c r="A551" t="s">
        <v>42</v>
      </c>
      <c r="B551">
        <v>2012</v>
      </c>
      <c r="C551">
        <v>0.777036997385621</v>
      </c>
      <c r="D551">
        <v>0.916294222205821</v>
      </c>
      <c r="E551">
        <v>0.3160518444666</v>
      </c>
      <c r="F551">
        <v>0.982695736039108</v>
      </c>
      <c r="G551">
        <v>0.601360256431117</v>
      </c>
      <c r="H551">
        <v>0.841002121757177</v>
      </c>
      <c r="I551">
        <v>0.486754966887417</v>
      </c>
      <c r="J551">
        <v>0.973002399889499</v>
      </c>
      <c r="K551">
        <v>0.949273807451118</v>
      </c>
      <c r="L551">
        <v>0.946291049890937</v>
      </c>
      <c r="M551">
        <v>0.186274236262455</v>
      </c>
      <c r="N551">
        <v>0.402403172324876</v>
      </c>
    </row>
    <row r="552" spans="1:14">
      <c r="A552" t="s">
        <v>42</v>
      </c>
      <c r="B552">
        <v>2013</v>
      </c>
      <c r="C552">
        <v>0.758219025095257</v>
      </c>
      <c r="D552">
        <v>0.902509917215178</v>
      </c>
      <c r="E552">
        <v>0.281726249821963</v>
      </c>
      <c r="F552">
        <v>0.981083380361997</v>
      </c>
      <c r="G552">
        <v>0.586335102062463</v>
      </c>
      <c r="H552">
        <v>0.756627052772919</v>
      </c>
      <c r="I552">
        <v>0.46815408388521</v>
      </c>
      <c r="J552">
        <v>0.967859041895273</v>
      </c>
      <c r="K552">
        <v>0.946091235325233</v>
      </c>
      <c r="L552">
        <v>0.933089441408085</v>
      </c>
      <c r="M552">
        <v>0.180747273296598</v>
      </c>
      <c r="N552">
        <v>0.384022569213636</v>
      </c>
    </row>
    <row r="553" spans="1:14">
      <c r="A553" t="s">
        <v>42</v>
      </c>
      <c r="B553">
        <v>2014</v>
      </c>
      <c r="C553">
        <v>0.752676807585934</v>
      </c>
      <c r="D553">
        <v>0.89412833561454</v>
      </c>
      <c r="E553">
        <v>0.235294117647059</v>
      </c>
      <c r="F553">
        <v>0.979210033571892</v>
      </c>
      <c r="G553">
        <v>0.588766940517422</v>
      </c>
      <c r="H553">
        <v>0.811037143987066</v>
      </c>
      <c r="I553">
        <v>0.427895217071375</v>
      </c>
      <c r="J553">
        <v>0.962927498157254</v>
      </c>
      <c r="K553">
        <v>0.936597784432592</v>
      </c>
      <c r="L553">
        <v>0.918797259054006</v>
      </c>
      <c r="M553">
        <v>0.200479335156706</v>
      </c>
      <c r="N553">
        <v>0.371234671298726</v>
      </c>
    </row>
    <row r="554" spans="1:14">
      <c r="A554" t="s">
        <v>42</v>
      </c>
      <c r="B554">
        <v>2015</v>
      </c>
      <c r="C554">
        <v>0.750986259743691</v>
      </c>
      <c r="D554">
        <v>0.890022209723244</v>
      </c>
      <c r="E554">
        <v>0.202677681241988</v>
      </c>
      <c r="F554">
        <v>0.983052107048567</v>
      </c>
      <c r="G554">
        <v>0.574634990101978</v>
      </c>
      <c r="H554">
        <v>0.797631759195175</v>
      </c>
      <c r="I554">
        <v>0.430952317880795</v>
      </c>
      <c r="J554">
        <v>0.957572325906821</v>
      </c>
      <c r="K554">
        <v>0.939726091073463</v>
      </c>
      <c r="L554">
        <v>0.908449238172666</v>
      </c>
      <c r="M554">
        <v>0.211207047622167</v>
      </c>
      <c r="N554">
        <v>0.362168400211662</v>
      </c>
    </row>
    <row r="555" spans="1:14">
      <c r="A555" t="s">
        <v>42</v>
      </c>
      <c r="B555">
        <v>2016</v>
      </c>
      <c r="C555">
        <v>0.758402777777778</v>
      </c>
      <c r="D555">
        <v>0.889000573828444</v>
      </c>
      <c r="E555">
        <v>0.168779376157243</v>
      </c>
      <c r="F555">
        <v>0.983773998413519</v>
      </c>
      <c r="G555">
        <v>0.577882359952127</v>
      </c>
      <c r="H555">
        <v>0.836270809477686</v>
      </c>
      <c r="I555">
        <v>0.347377483443709</v>
      </c>
      <c r="J555">
        <v>0.953064410681216</v>
      </c>
      <c r="K555">
        <v>0.917610882647309</v>
      </c>
      <c r="L555">
        <v>0.897579003968065</v>
      </c>
      <c r="M555">
        <v>0.0609996801797828</v>
      </c>
      <c r="N555">
        <v>0.290804555963415</v>
      </c>
    </row>
    <row r="556" spans="1:14">
      <c r="A556" t="s">
        <v>42</v>
      </c>
      <c r="B556">
        <v>2017</v>
      </c>
      <c r="C556">
        <v>0.736153846153846</v>
      </c>
      <c r="D556">
        <v>0.879807132615668</v>
      </c>
      <c r="E556">
        <v>0.134453781512605</v>
      </c>
      <c r="F556">
        <v>0.982162917375236</v>
      </c>
      <c r="G556">
        <v>0.526509973365253</v>
      </c>
      <c r="H556">
        <v>0.892258004784997</v>
      </c>
      <c r="I556">
        <v>0.331952097130243</v>
      </c>
      <c r="J556">
        <v>0.949074599921518</v>
      </c>
      <c r="K556">
        <v>0.906696360850742</v>
      </c>
      <c r="L556">
        <v>0.880205927001518</v>
      </c>
      <c r="M556">
        <v>0.0600114294841149</v>
      </c>
      <c r="N556">
        <v>0.273658848722654</v>
      </c>
    </row>
    <row r="557" spans="1:14">
      <c r="A557" t="s">
        <v>42</v>
      </c>
      <c r="B557">
        <v>2018</v>
      </c>
      <c r="C557">
        <v>0.706779324055666</v>
      </c>
      <c r="D557">
        <v>0.869442816127077</v>
      </c>
      <c r="E557">
        <v>0.129507762427005</v>
      </c>
      <c r="F557">
        <v>0.98080065390436</v>
      </c>
      <c r="G557">
        <v>0.518753590573828</v>
      </c>
      <c r="H557">
        <v>0.923944391672795</v>
      </c>
      <c r="I557">
        <v>0.324658940397351</v>
      </c>
      <c r="J557">
        <v>0.944503355005043</v>
      </c>
      <c r="K557">
        <v>0.862314768450317</v>
      </c>
      <c r="L557">
        <v>0.870744894767416</v>
      </c>
      <c r="M557">
        <v>0.0534481216810582</v>
      </c>
      <c r="N557">
        <v>0.266607521050712</v>
      </c>
    </row>
    <row r="558" spans="1:14">
      <c r="A558" t="s">
        <v>42</v>
      </c>
      <c r="B558">
        <v>2019</v>
      </c>
      <c r="C558">
        <v>0.706533811611532</v>
      </c>
      <c r="D558">
        <v>0.861718078405819</v>
      </c>
      <c r="E558">
        <v>0.104498219626834</v>
      </c>
      <c r="F558">
        <v>0.979906046214153</v>
      </c>
      <c r="G558">
        <v>0.492126758405543</v>
      </c>
      <c r="H558">
        <v>0.852597022592198</v>
      </c>
      <c r="I558">
        <v>0.313132450331126</v>
      </c>
      <c r="J558">
        <v>0.936193887992791</v>
      </c>
      <c r="K558">
        <v>0.896568429191635</v>
      </c>
      <c r="L558">
        <v>0.866091836081891</v>
      </c>
      <c r="M558">
        <v>0.0513278093198543</v>
      </c>
      <c r="N558">
        <v>0.254095691717857</v>
      </c>
    </row>
    <row r="559" spans="1:14">
      <c r="A559" t="s">
        <v>42</v>
      </c>
      <c r="B559">
        <v>2020</v>
      </c>
      <c r="C559">
        <v>0.685480474476876</v>
      </c>
      <c r="D559">
        <v>0.848796554151238</v>
      </c>
      <c r="E559">
        <v>0.0740635237145706</v>
      </c>
      <c r="F559">
        <v>0.981141666666667</v>
      </c>
      <c r="G559">
        <v>0.50386622232393</v>
      </c>
      <c r="H559">
        <v>0.923778995499017</v>
      </c>
      <c r="I559">
        <v>0.313465783664459</v>
      </c>
      <c r="J559">
        <v>0.929991320130742</v>
      </c>
      <c r="K559">
        <v>0.874452701974994</v>
      </c>
      <c r="L559">
        <v>0.853977905541676</v>
      </c>
      <c r="M559">
        <v>0.0405361182947751</v>
      </c>
      <c r="N559">
        <v>0.238815900245532</v>
      </c>
    </row>
    <row r="560" spans="1:14">
      <c r="A560" t="s">
        <v>42</v>
      </c>
      <c r="B560">
        <v>2021</v>
      </c>
      <c r="C560">
        <v>0.656770414993307</v>
      </c>
      <c r="D560">
        <v>0.839071247348239</v>
      </c>
      <c r="E560">
        <v>0.0445520581113801</v>
      </c>
      <c r="F560">
        <v>0.981924138471014</v>
      </c>
      <c r="G560">
        <v>0.539030160894012</v>
      </c>
      <c r="H560">
        <v>0.860978966643844</v>
      </c>
      <c r="I560">
        <v>0.286975717439294</v>
      </c>
      <c r="J560">
        <v>0.935624202419074</v>
      </c>
      <c r="K560">
        <v>0.820971524420195</v>
      </c>
      <c r="L560">
        <v>0.853683711501416</v>
      </c>
      <c r="M560">
        <v>0.0375578404256162</v>
      </c>
      <c r="N560">
        <v>0.225003114610165</v>
      </c>
    </row>
    <row r="561" spans="1:14">
      <c r="A561" t="s">
        <v>42</v>
      </c>
      <c r="B561">
        <v>2022</v>
      </c>
      <c r="C561">
        <v>0.655669475655431</v>
      </c>
      <c r="D561">
        <v>0.832680921483251</v>
      </c>
      <c r="E561">
        <v>0.0437430565446518</v>
      </c>
      <c r="F561">
        <v>0.982578428201362</v>
      </c>
      <c r="G561">
        <v>0.530409132357787</v>
      </c>
      <c r="H561">
        <v>0.715352524052662</v>
      </c>
      <c r="I561">
        <v>0.275778366445916</v>
      </c>
      <c r="J561">
        <v>0.933586386546649</v>
      </c>
      <c r="K561">
        <v>0.798459545029043</v>
      </c>
      <c r="L561">
        <v>0.828786526306687</v>
      </c>
      <c r="M561">
        <v>0.0336073861931651</v>
      </c>
      <c r="N561">
        <v>0.219338922205654</v>
      </c>
    </row>
    <row r="562" spans="1:14">
      <c r="A562" t="s">
        <v>43</v>
      </c>
      <c r="B562">
        <v>2003</v>
      </c>
      <c r="C562">
        <v>0.839248189762797</v>
      </c>
      <c r="D562">
        <v>0.696758296561544</v>
      </c>
      <c r="E562">
        <v>0.76165617433414</v>
      </c>
      <c r="F562">
        <v>0.810092681579674</v>
      </c>
      <c r="G562">
        <v>0.47428320153941</v>
      </c>
      <c r="H562">
        <v>0.997350859399508</v>
      </c>
      <c r="I562">
        <v>0.747240618101545</v>
      </c>
      <c r="J562">
        <v>0.998833188668846</v>
      </c>
      <c r="K562">
        <v>0.996541431334655</v>
      </c>
      <c r="L562">
        <v>0.993375032603492</v>
      </c>
      <c r="M562">
        <v>0.0939581745788449</v>
      </c>
      <c r="N562">
        <v>0.540597079460534</v>
      </c>
    </row>
    <row r="563" spans="1:14">
      <c r="A563" t="s">
        <v>43</v>
      </c>
      <c r="B563">
        <v>2004</v>
      </c>
      <c r="C563">
        <v>0.798735363636364</v>
      </c>
      <c r="D563">
        <v>0.644839734114246</v>
      </c>
      <c r="E563">
        <v>0.428055547642786</v>
      </c>
      <c r="F563">
        <v>0.914017999126256</v>
      </c>
      <c r="G563">
        <v>0.358873427290069</v>
      </c>
      <c r="H563">
        <v>1</v>
      </c>
      <c r="I563">
        <v>0.696688741721854</v>
      </c>
      <c r="J563">
        <v>1</v>
      </c>
      <c r="K563">
        <v>0.998270663788279</v>
      </c>
      <c r="L563">
        <v>0.991405710991857</v>
      </c>
      <c r="M563">
        <v>0.0858556258155963</v>
      </c>
      <c r="N563">
        <v>0.408453198264073</v>
      </c>
    </row>
    <row r="564" spans="1:14">
      <c r="A564" t="s">
        <v>43</v>
      </c>
      <c r="B564">
        <v>2005</v>
      </c>
      <c r="C564">
        <v>0.782538105279313</v>
      </c>
      <c r="D564">
        <v>0.564782384910264</v>
      </c>
      <c r="E564">
        <v>0.398868537245407</v>
      </c>
      <c r="F564">
        <v>0.924167715166483</v>
      </c>
      <c r="G564">
        <v>0.25720053197626</v>
      </c>
      <c r="H564">
        <v>0.992404114700891</v>
      </c>
      <c r="I564">
        <v>0.696688741721854</v>
      </c>
      <c r="J564">
        <v>1</v>
      </c>
      <c r="K564">
        <v>0.986165621580522</v>
      </c>
      <c r="L564">
        <v>1</v>
      </c>
      <c r="M564">
        <v>0.0852231718501036</v>
      </c>
      <c r="N564">
        <v>0.390473587367645</v>
      </c>
    </row>
    <row r="565" spans="1:14">
      <c r="A565" t="s">
        <v>43</v>
      </c>
      <c r="B565">
        <v>2006</v>
      </c>
      <c r="C565">
        <v>0.745029468673966</v>
      </c>
      <c r="D565">
        <v>0.555685268204673</v>
      </c>
      <c r="E565">
        <v>0.268765133171913</v>
      </c>
      <c r="F565">
        <v>0.951693868780748</v>
      </c>
      <c r="G565">
        <v>0.260221099780806</v>
      </c>
      <c r="H565">
        <v>0.973478865582927</v>
      </c>
      <c r="I565">
        <v>0.615894039735099</v>
      </c>
      <c r="J565">
        <v>0.996700740373977</v>
      </c>
      <c r="K565">
        <v>0.994812095122934</v>
      </c>
      <c r="L565">
        <v>1</v>
      </c>
      <c r="M565">
        <v>0.0844455881653401</v>
      </c>
      <c r="N565">
        <v>0.337575583572564</v>
      </c>
    </row>
    <row r="566" spans="1:14">
      <c r="A566" t="s">
        <v>43</v>
      </c>
      <c r="B566">
        <v>2007</v>
      </c>
      <c r="C566">
        <v>0.704393237922706</v>
      </c>
      <c r="D566">
        <v>0.607804916648482</v>
      </c>
      <c r="E566">
        <v>0.150833214641789</v>
      </c>
      <c r="F566">
        <v>0.942035129194494</v>
      </c>
      <c r="G566">
        <v>0.320739212455102</v>
      </c>
      <c r="H566">
        <v>0.982152938095327</v>
      </c>
      <c r="I566">
        <v>0.503532008830022</v>
      </c>
      <c r="J566">
        <v>0.995614398789799</v>
      </c>
      <c r="K566">
        <v>0.996541431334655</v>
      </c>
      <c r="L566">
        <v>0.992622561424318</v>
      </c>
      <c r="M566">
        <v>0.0838336636134174</v>
      </c>
      <c r="N566">
        <v>0.291214694707588</v>
      </c>
    </row>
    <row r="567" spans="1:14">
      <c r="A567" t="s">
        <v>43</v>
      </c>
      <c r="B567">
        <v>2008</v>
      </c>
      <c r="C567">
        <v>0.676786064380265</v>
      </c>
      <c r="D567">
        <v>0.558137763623969</v>
      </c>
      <c r="E567">
        <v>0.0743483834211651</v>
      </c>
      <c r="F567">
        <v>0.942426167976879</v>
      </c>
      <c r="G567">
        <v>0.33185270511604</v>
      </c>
      <c r="H567">
        <v>0.979787281955581</v>
      </c>
      <c r="I567">
        <v>0.602869757174393</v>
      </c>
      <c r="J567">
        <v>0.992717487898658</v>
      </c>
      <c r="K567">
        <v>0.986200173027003</v>
      </c>
      <c r="L567">
        <v>0.992555084851979</v>
      </c>
      <c r="M567">
        <v>0.0835310150083144</v>
      </c>
      <c r="N567">
        <v>0.269104261031984</v>
      </c>
    </row>
    <row r="568" spans="1:14">
      <c r="A568" t="s">
        <v>43</v>
      </c>
      <c r="B568">
        <v>2009</v>
      </c>
      <c r="C568">
        <v>0.653883236385398</v>
      </c>
      <c r="D568">
        <v>0.528772537387736</v>
      </c>
      <c r="E568">
        <v>0.121207805155961</v>
      </c>
      <c r="F568">
        <v>0.928824200014578</v>
      </c>
      <c r="G568">
        <v>0.281099680488747</v>
      </c>
      <c r="H568">
        <v>0.946668095999144</v>
      </c>
      <c r="I568">
        <v>0.468653421633554</v>
      </c>
      <c r="J568">
        <v>0.994849936193526</v>
      </c>
      <c r="K568">
        <v>0.982672397710598</v>
      </c>
      <c r="L568">
        <v>0.992439838487459</v>
      </c>
      <c r="M568">
        <v>0.0738498820101435</v>
      </c>
      <c r="N568">
        <v>0.269267877814774</v>
      </c>
    </row>
    <row r="569" spans="1:14">
      <c r="A569" t="s">
        <v>43</v>
      </c>
      <c r="B569">
        <v>2010</v>
      </c>
      <c r="C569">
        <v>0.527659147424512</v>
      </c>
      <c r="D569">
        <v>0.549620343049312</v>
      </c>
      <c r="E569">
        <v>0.131177894886768</v>
      </c>
      <c r="F569">
        <v>0.9730874241667</v>
      </c>
      <c r="G569">
        <v>0.230419149489489</v>
      </c>
      <c r="H569">
        <v>0.964016241023945</v>
      </c>
      <c r="I569">
        <v>0.455849889624724</v>
      </c>
      <c r="J569">
        <v>0.994809701320038</v>
      </c>
      <c r="K569">
        <v>0.977519044280013</v>
      </c>
      <c r="L569">
        <v>0.991493805415016</v>
      </c>
      <c r="M569">
        <v>0.0913285618997559</v>
      </c>
      <c r="N569">
        <v>0.273825973038508</v>
      </c>
    </row>
    <row r="570" spans="1:14">
      <c r="A570" t="s">
        <v>43</v>
      </c>
      <c r="B570">
        <v>2011</v>
      </c>
      <c r="C570">
        <v>0.435697064260564</v>
      </c>
      <c r="D570">
        <v>0.396838944070635</v>
      </c>
      <c r="E570">
        <v>0.112519584104828</v>
      </c>
      <c r="F570">
        <v>0.974326424270341</v>
      </c>
      <c r="G570">
        <v>0.248478577555105</v>
      </c>
      <c r="H570">
        <v>0.923011534601689</v>
      </c>
      <c r="I570">
        <v>0.404194260485651</v>
      </c>
      <c r="J570">
        <v>0.990263160615885</v>
      </c>
      <c r="K570">
        <v>0.968872570737602</v>
      </c>
      <c r="L570">
        <v>0.990628549791746</v>
      </c>
      <c r="M570">
        <v>0.2017431531814</v>
      </c>
      <c r="N570">
        <v>0.297388835153981</v>
      </c>
    </row>
    <row r="571" spans="1:14">
      <c r="A571" t="s">
        <v>43</v>
      </c>
      <c r="B571">
        <v>2012</v>
      </c>
      <c r="C571">
        <v>0.397080787215413</v>
      </c>
      <c r="D571">
        <v>0.249108110097629</v>
      </c>
      <c r="E571">
        <v>0.104685942173479</v>
      </c>
      <c r="F571">
        <v>0.959843190844609</v>
      </c>
      <c r="G571">
        <v>0.202170816580423</v>
      </c>
      <c r="H571">
        <v>0.897777869111069</v>
      </c>
      <c r="I571">
        <v>0.369977924944812</v>
      </c>
      <c r="J571">
        <v>0.99058503960379</v>
      </c>
      <c r="K571">
        <v>0.916417041976998</v>
      </c>
      <c r="L571">
        <v>0.989074128999772</v>
      </c>
      <c r="M571">
        <v>0.222943320051571</v>
      </c>
      <c r="N571">
        <v>0.291757210403214</v>
      </c>
    </row>
    <row r="572" spans="1:14">
      <c r="A572" t="s">
        <v>43</v>
      </c>
      <c r="B572">
        <v>2013</v>
      </c>
      <c r="C572">
        <v>0.323210741389377</v>
      </c>
      <c r="D572">
        <v>0.222040510935271</v>
      </c>
      <c r="E572">
        <v>0.217063096425011</v>
      </c>
      <c r="F572">
        <v>0.962412766255337</v>
      </c>
      <c r="G572">
        <v>0.229604846547444</v>
      </c>
      <c r="H572">
        <v>0.882006828179433</v>
      </c>
      <c r="I572">
        <v>0.382640765268581</v>
      </c>
      <c r="J572">
        <v>0.99070823878641</v>
      </c>
      <c r="K572">
        <v>0.913227483472546</v>
      </c>
      <c r="L572">
        <v>0.974738632739129</v>
      </c>
      <c r="M572">
        <v>0.233001793615575</v>
      </c>
      <c r="N572">
        <v>0.334872626175725</v>
      </c>
    </row>
    <row r="573" spans="1:14">
      <c r="A573" t="s">
        <v>43</v>
      </c>
      <c r="B573">
        <v>2014</v>
      </c>
      <c r="C573">
        <v>0.282439236111113</v>
      </c>
      <c r="D573">
        <v>0.247535653448696</v>
      </c>
      <c r="E573">
        <v>0.159379005839624</v>
      </c>
      <c r="F573">
        <v>0.960142026907384</v>
      </c>
      <c r="G573">
        <v>0.219278176502456</v>
      </c>
      <c r="H573">
        <v>0.883583932272596</v>
      </c>
      <c r="I573">
        <v>0.384722982585234</v>
      </c>
      <c r="J573">
        <v>0.992106776165607</v>
      </c>
      <c r="K573">
        <v>0.890968131991552</v>
      </c>
      <c r="L573">
        <v>0.974113793266245</v>
      </c>
      <c r="M573">
        <v>0.323406598972969</v>
      </c>
      <c r="N573">
        <v>0.345473772199748</v>
      </c>
    </row>
    <row r="574" spans="1:14">
      <c r="A574" t="s">
        <v>43</v>
      </c>
      <c r="B574">
        <v>2015</v>
      </c>
      <c r="C574">
        <v>0.348082033506642</v>
      </c>
      <c r="D574">
        <v>0.177891693069113</v>
      </c>
      <c r="E574">
        <v>0.199971514029341</v>
      </c>
      <c r="F574">
        <v>0.962682510720189</v>
      </c>
      <c r="G574">
        <v>0.208896681557339</v>
      </c>
      <c r="H574">
        <v>0.788957686682775</v>
      </c>
      <c r="I574">
        <v>0.407966445916115</v>
      </c>
      <c r="J574">
        <v>0.990954637151651</v>
      </c>
      <c r="K574">
        <v>0.90684836646364</v>
      </c>
      <c r="L574">
        <v>0.945661903656798</v>
      </c>
      <c r="M574">
        <v>0.306440469369282</v>
      </c>
      <c r="N574">
        <v>0.353290269775485</v>
      </c>
    </row>
    <row r="575" spans="1:14">
      <c r="A575" t="s">
        <v>43</v>
      </c>
      <c r="B575">
        <v>2016</v>
      </c>
      <c r="C575">
        <v>0.373327605956471</v>
      </c>
      <c r="D575">
        <v>0.152448157178767</v>
      </c>
      <c r="E575">
        <v>0.177325167355078</v>
      </c>
      <c r="F575">
        <v>0.963074169704147</v>
      </c>
      <c r="G575">
        <v>0.272571105269697</v>
      </c>
      <c r="H575">
        <v>0.841790673803758</v>
      </c>
      <c r="I575">
        <v>0.388887417218543</v>
      </c>
      <c r="J575">
        <v>0.994903850924</v>
      </c>
      <c r="K575">
        <v>0.846449429029565</v>
      </c>
      <c r="L575">
        <v>0.943850633778691</v>
      </c>
      <c r="M575">
        <v>0.0364254867665372</v>
      </c>
      <c r="N575">
        <v>0.250678158719118</v>
      </c>
    </row>
    <row r="576" spans="1:14">
      <c r="A576" t="s">
        <v>43</v>
      </c>
      <c r="B576">
        <v>2017</v>
      </c>
      <c r="C576">
        <v>0.329803754266212</v>
      </c>
      <c r="D576">
        <v>0.096218193438706</v>
      </c>
      <c r="E576">
        <v>0.0827517447657029</v>
      </c>
      <c r="F576">
        <v>0.963831857038124</v>
      </c>
      <c r="G576">
        <v>0.247875206847855</v>
      </c>
      <c r="H576">
        <v>0.912760357996125</v>
      </c>
      <c r="I576">
        <v>0.356186092715232</v>
      </c>
      <c r="J576">
        <v>0.994526286871188</v>
      </c>
      <c r="K576">
        <v>0.820517997775841</v>
      </c>
      <c r="L576">
        <v>0.941914448736577</v>
      </c>
      <c r="M576">
        <v>0.0367120869936126</v>
      </c>
      <c r="N576">
        <v>0.211628370721532</v>
      </c>
    </row>
    <row r="577" spans="1:14">
      <c r="A577" t="s">
        <v>43</v>
      </c>
      <c r="B577">
        <v>2018</v>
      </c>
      <c r="C577">
        <v>0.281277683134584</v>
      </c>
      <c r="D577">
        <v>0.0691701632399179</v>
      </c>
      <c r="E577">
        <v>0.0755885201538242</v>
      </c>
      <c r="F577">
        <v>0.962076173552132</v>
      </c>
      <c r="G577">
        <v>0.148500656752535</v>
      </c>
      <c r="H577">
        <v>0.872719262174792</v>
      </c>
      <c r="I577">
        <v>0.284584988962472</v>
      </c>
      <c r="J577">
        <v>0.992990602219895</v>
      </c>
      <c r="K577">
        <v>0.815138866725006</v>
      </c>
      <c r="L577">
        <v>0.939600283347596</v>
      </c>
      <c r="M577">
        <v>0.0315340254273297</v>
      </c>
      <c r="N577">
        <v>0.195233393278048</v>
      </c>
    </row>
    <row r="578" spans="1:14">
      <c r="A578" t="s">
        <v>43</v>
      </c>
      <c r="B578">
        <v>2019</v>
      </c>
      <c r="C578">
        <v>0.306248587570621</v>
      </c>
      <c r="D578">
        <v>0.0557870616506818</v>
      </c>
      <c r="E578">
        <v>0.0879162512462612</v>
      </c>
      <c r="F578">
        <v>0.96027742395219</v>
      </c>
      <c r="G578">
        <v>0.11719175562115</v>
      </c>
      <c r="H578">
        <v>0.766216405531307</v>
      </c>
      <c r="I578">
        <v>0.22621523178808</v>
      </c>
      <c r="J578">
        <v>0.994794492537859</v>
      </c>
      <c r="K578">
        <v>0.7709168542786</v>
      </c>
      <c r="L578">
        <v>0.937611815309657</v>
      </c>
      <c r="M578">
        <v>0.0235651218415622</v>
      </c>
      <c r="N578">
        <v>0.189423795491008</v>
      </c>
    </row>
    <row r="579" spans="1:14">
      <c r="A579" t="s">
        <v>43</v>
      </c>
      <c r="B579">
        <v>2020</v>
      </c>
      <c r="C579">
        <v>0.284693648116918</v>
      </c>
      <c r="D579">
        <v>0.16925149855804</v>
      </c>
      <c r="E579">
        <v>0.0881640791909984</v>
      </c>
      <c r="F579">
        <v>0.962443902082572</v>
      </c>
      <c r="G579">
        <v>0.105944047086243</v>
      </c>
      <c r="H579">
        <v>0.798693823231733</v>
      </c>
      <c r="I579">
        <v>0.167770419426049</v>
      </c>
      <c r="J579">
        <v>0.995574163916311</v>
      </c>
      <c r="K579">
        <v>0.734379270294202</v>
      </c>
      <c r="L579">
        <v>0.936032367595978</v>
      </c>
      <c r="M579">
        <v>0.0123299102963032</v>
      </c>
      <c r="N579">
        <v>0.182755178989707</v>
      </c>
    </row>
    <row r="580" spans="1:14">
      <c r="A580" t="s">
        <v>43</v>
      </c>
      <c r="B580">
        <v>2021</v>
      </c>
      <c r="C580">
        <v>0.174259259259262</v>
      </c>
      <c r="D580">
        <v>0.0745613548703254</v>
      </c>
      <c r="E580">
        <v>0.0786711294687366</v>
      </c>
      <c r="F580">
        <v>0.961532974137754</v>
      </c>
      <c r="G580">
        <v>0.145031638888345</v>
      </c>
      <c r="H580">
        <v>0.870495662458368</v>
      </c>
      <c r="I580">
        <v>0.154525386313466</v>
      </c>
      <c r="J580">
        <v>0.992757722772146</v>
      </c>
      <c r="K580">
        <v>0.704019962227902</v>
      </c>
      <c r="L580">
        <v>0.934653754828649</v>
      </c>
      <c r="M580">
        <v>0.0126986830257253</v>
      </c>
      <c r="N580">
        <v>0.175971509313363</v>
      </c>
    </row>
    <row r="581" spans="1:14">
      <c r="A581" t="s">
        <v>43</v>
      </c>
      <c r="B581">
        <v>2022</v>
      </c>
      <c r="C581">
        <v>0.1141568627451</v>
      </c>
      <c r="D581">
        <v>0.197552665984838</v>
      </c>
      <c r="E581">
        <v>0.0752371457057398</v>
      </c>
      <c r="F581">
        <v>0.963649723751444</v>
      </c>
      <c r="G581">
        <v>0.15004581367498</v>
      </c>
      <c r="H581">
        <v>0.87157186473827</v>
      </c>
      <c r="I581">
        <v>0.14038123620309</v>
      </c>
      <c r="J581">
        <v>0.992219621574116</v>
      </c>
      <c r="K581">
        <v>0.726847885026067</v>
      </c>
      <c r="L581">
        <v>0.999555689197862</v>
      </c>
      <c r="M581">
        <v>0.0111304804521406</v>
      </c>
      <c r="N581">
        <v>0.177167329617696</v>
      </c>
    </row>
    <row r="582" spans="1:14">
      <c r="A582" t="s">
        <v>44</v>
      </c>
      <c r="B582">
        <v>2003</v>
      </c>
      <c r="C582">
        <v>0.790927701149426</v>
      </c>
      <c r="D582">
        <v>0.813872333751568</v>
      </c>
      <c r="E582">
        <v>0.675026207093007</v>
      </c>
      <c r="F582">
        <v>0.882021808446456</v>
      </c>
      <c r="G582">
        <v>0.958770453532683</v>
      </c>
      <c r="H582">
        <v>0.984399522876039</v>
      </c>
      <c r="I582">
        <v>0.723399558498896</v>
      </c>
      <c r="J582">
        <v>0.989619402640076</v>
      </c>
      <c r="K582">
        <v>0.986165621580522</v>
      </c>
      <c r="L582">
        <v>0.971765486153877</v>
      </c>
      <c r="M582">
        <v>0.309819927113192</v>
      </c>
      <c r="N582">
        <v>0.609093473596737</v>
      </c>
    </row>
    <row r="583" spans="1:14">
      <c r="A583" t="s">
        <v>44</v>
      </c>
      <c r="B583">
        <v>2004</v>
      </c>
      <c r="C583">
        <v>0.737486583333333</v>
      </c>
      <c r="D583">
        <v>0.79059227204056</v>
      </c>
      <c r="E583">
        <v>0.720796182879932</v>
      </c>
      <c r="F583">
        <v>0.90811555768658</v>
      </c>
      <c r="G583">
        <v>0.960888576076331</v>
      </c>
      <c r="H583">
        <v>0.99336291513433</v>
      </c>
      <c r="I583">
        <v>0.724503311258278</v>
      </c>
      <c r="J583">
        <v>0.973123104509963</v>
      </c>
      <c r="K583">
        <v>0.996541431334655</v>
      </c>
      <c r="L583">
        <v>0.967966303634188</v>
      </c>
      <c r="M583">
        <v>0.288570297880198</v>
      </c>
      <c r="N583">
        <v>0.615475761646638</v>
      </c>
    </row>
    <row r="584" spans="1:14">
      <c r="A584" t="s">
        <v>44</v>
      </c>
      <c r="B584">
        <v>2005</v>
      </c>
      <c r="C584">
        <v>0.709482165268457</v>
      </c>
      <c r="D584">
        <v>0.881099188020513</v>
      </c>
      <c r="E584">
        <v>0.686009257940464</v>
      </c>
      <c r="F584">
        <v>0.922249528722157</v>
      </c>
      <c r="G584">
        <v>0.961035108828129</v>
      </c>
      <c r="H584">
        <v>0.983730042188491</v>
      </c>
      <c r="I584">
        <v>0.724503311258278</v>
      </c>
      <c r="J584">
        <v>0.973123104509963</v>
      </c>
      <c r="K584">
        <v>0.987894854034146</v>
      </c>
      <c r="L584">
        <v>0.960957479863285</v>
      </c>
      <c r="M584">
        <v>0.345087116440017</v>
      </c>
      <c r="N584">
        <v>0.624348808475484</v>
      </c>
    </row>
    <row r="585" spans="1:14">
      <c r="A585" t="s">
        <v>44</v>
      </c>
      <c r="B585">
        <v>2006</v>
      </c>
      <c r="C585">
        <v>0.642377069536424</v>
      </c>
      <c r="D585">
        <v>0.859491979442778</v>
      </c>
      <c r="E585">
        <v>0.47770972795898</v>
      </c>
      <c r="F585">
        <v>0.928956807679777</v>
      </c>
      <c r="G585">
        <v>0.956492734286626</v>
      </c>
      <c r="H585">
        <v>0.971113209443181</v>
      </c>
      <c r="I585">
        <v>0.686092715231788</v>
      </c>
      <c r="J585">
        <v>0.976422364135986</v>
      </c>
      <c r="K585">
        <v>0.987894854034146</v>
      </c>
      <c r="L585">
        <v>0.952084179832214</v>
      </c>
      <c r="M585">
        <v>0.272413140924835</v>
      </c>
      <c r="N585">
        <v>0.520049774508245</v>
      </c>
    </row>
    <row r="586" spans="1:14">
      <c r="A586" t="s">
        <v>44</v>
      </c>
      <c r="B586">
        <v>2007</v>
      </c>
      <c r="C586">
        <v>0.5878605715847</v>
      </c>
      <c r="D586">
        <v>0.842475754365757</v>
      </c>
      <c r="E586">
        <v>0.362056687081612</v>
      </c>
      <c r="F586">
        <v>0.935403956006112</v>
      </c>
      <c r="G586">
        <v>0.960238392924201</v>
      </c>
      <c r="H586">
        <v>0.968747553303436</v>
      </c>
      <c r="I586">
        <v>0.690066225165563</v>
      </c>
      <c r="J586">
        <v>0.970910186468119</v>
      </c>
      <c r="K586">
        <v>0.980977716703456</v>
      </c>
      <c r="L586">
        <v>0.945098299240792</v>
      </c>
      <c r="M586">
        <v>0.25287531319457</v>
      </c>
      <c r="N586">
        <v>0.470388876568221</v>
      </c>
    </row>
    <row r="587" spans="1:14">
      <c r="A587" t="s">
        <v>44</v>
      </c>
      <c r="B587">
        <v>2008</v>
      </c>
      <c r="C587">
        <v>0.593343899137001</v>
      </c>
      <c r="D587">
        <v>0.809751271962415</v>
      </c>
      <c r="E587">
        <v>0.346389403218914</v>
      </c>
      <c r="F587">
        <v>0.944007790621343</v>
      </c>
      <c r="G587">
        <v>0.958578049854587</v>
      </c>
      <c r="H587">
        <v>0.94903375213889</v>
      </c>
      <c r="I587">
        <v>0.657836644591612</v>
      </c>
      <c r="J587">
        <v>0.966082001649549</v>
      </c>
      <c r="K587">
        <v>0.977484492833532</v>
      </c>
      <c r="L587">
        <v>0.938053926606614</v>
      </c>
      <c r="M587">
        <v>0.241281784811863</v>
      </c>
      <c r="N587">
        <v>0.456997130743038</v>
      </c>
    </row>
    <row r="588" spans="1:14">
      <c r="A588" t="s">
        <v>44</v>
      </c>
      <c r="B588">
        <v>2009</v>
      </c>
      <c r="C588">
        <v>0.576547292</v>
      </c>
      <c r="D588">
        <v>0.795166923462986</v>
      </c>
      <c r="E588">
        <v>0.183307221193562</v>
      </c>
      <c r="F588">
        <v>0.968164035764706</v>
      </c>
      <c r="G588">
        <v>0.955098270641967</v>
      </c>
      <c r="H588">
        <v>0.923011534601689</v>
      </c>
      <c r="I588">
        <v>0.575717439293598</v>
      </c>
      <c r="J588">
        <v>0.957874087457981</v>
      </c>
      <c r="K588">
        <v>0.975824363272871</v>
      </c>
      <c r="L588">
        <v>0.929954467964416</v>
      </c>
      <c r="M588">
        <v>0.29616756681348</v>
      </c>
      <c r="N588">
        <v>0.411096979969212</v>
      </c>
    </row>
    <row r="589" spans="1:14">
      <c r="A589" t="s">
        <v>44</v>
      </c>
      <c r="B589">
        <v>2010</v>
      </c>
      <c r="C589">
        <v>0.506208241179569</v>
      </c>
      <c r="D589">
        <v>0.738695924537315</v>
      </c>
      <c r="E589">
        <v>0.170773394103404</v>
      </c>
      <c r="F589">
        <v>0.961089075911242</v>
      </c>
      <c r="G589">
        <v>0.954894804661093</v>
      </c>
      <c r="H589">
        <v>0.910394701856379</v>
      </c>
      <c r="I589">
        <v>0.522075055187638</v>
      </c>
      <c r="J589">
        <v>0.959000663915647</v>
      </c>
      <c r="K589">
        <v>0.961955329648814</v>
      </c>
      <c r="L589">
        <v>0.920760534429599</v>
      </c>
      <c r="M589">
        <v>0.243687110661434</v>
      </c>
      <c r="N589">
        <v>0.381181675696656</v>
      </c>
    </row>
    <row r="590" spans="1:14">
      <c r="A590" t="s">
        <v>44</v>
      </c>
      <c r="B590">
        <v>2011</v>
      </c>
      <c r="C590">
        <v>0.360810236882719</v>
      </c>
      <c r="D590">
        <v>0.693572353453149</v>
      </c>
      <c r="E590">
        <v>0.165503489531406</v>
      </c>
      <c r="F590">
        <v>0.962686977589065</v>
      </c>
      <c r="G590">
        <v>0.967946599033991</v>
      </c>
      <c r="H590">
        <v>0.874909859760196</v>
      </c>
      <c r="I590">
        <v>0.500220750551876</v>
      </c>
      <c r="J590">
        <v>0.951557212320353</v>
      </c>
      <c r="K590">
        <v>0.922181426844005</v>
      </c>
      <c r="L590">
        <v>0.910853095497949</v>
      </c>
      <c r="M590">
        <v>0.178693351461751</v>
      </c>
      <c r="N590">
        <v>0.34961339120168</v>
      </c>
    </row>
    <row r="591" spans="1:14">
      <c r="A591" t="s">
        <v>44</v>
      </c>
      <c r="B591">
        <v>2012</v>
      </c>
      <c r="C591">
        <v>0.356513436014165</v>
      </c>
      <c r="D591">
        <v>0.667829361528341</v>
      </c>
      <c r="E591">
        <v>0.289559891753311</v>
      </c>
      <c r="F591">
        <v>0.950689284471898</v>
      </c>
      <c r="G591">
        <v>0.939742651731625</v>
      </c>
      <c r="H591">
        <v>0.918280222322198</v>
      </c>
      <c r="I591">
        <v>0.446799116997792</v>
      </c>
      <c r="J591">
        <v>0.956264692518458</v>
      </c>
      <c r="K591">
        <v>0.907914688432072</v>
      </c>
      <c r="L591">
        <v>0.897304871276004</v>
      </c>
      <c r="M591">
        <v>0.173627362172809</v>
      </c>
      <c r="N591">
        <v>0.386243194718206</v>
      </c>
    </row>
    <row r="592" spans="1:14">
      <c r="A592" t="s">
        <v>44</v>
      </c>
      <c r="B592">
        <v>2013</v>
      </c>
      <c r="C592">
        <v>0.30387137137137</v>
      </c>
      <c r="D592">
        <v>0.685924436042064</v>
      </c>
      <c r="E592">
        <v>0.155533399800598</v>
      </c>
      <c r="F592">
        <v>0.953840027929866</v>
      </c>
      <c r="G592">
        <v>0.919660981242922</v>
      </c>
      <c r="H592">
        <v>0.926954294834598</v>
      </c>
      <c r="I592">
        <v>0.436690360559234</v>
      </c>
      <c r="J592">
        <v>0.953271861688921</v>
      </c>
      <c r="K592">
        <v>0.90457035743212</v>
      </c>
      <c r="L592">
        <v>0.885939474080427</v>
      </c>
      <c r="M592">
        <v>0.166066179777641</v>
      </c>
      <c r="N592">
        <v>0.333319352922188</v>
      </c>
    </row>
    <row r="593" spans="1:14">
      <c r="A593" t="s">
        <v>44</v>
      </c>
      <c r="B593">
        <v>2014</v>
      </c>
      <c r="C593">
        <v>0.284151917404131</v>
      </c>
      <c r="D593">
        <v>0.718283418090702</v>
      </c>
      <c r="E593">
        <v>0.153396952001139</v>
      </c>
      <c r="F593">
        <v>0.954808028579582</v>
      </c>
      <c r="G593">
        <v>0.902248456983319</v>
      </c>
      <c r="H593">
        <v>0.865447235201214</v>
      </c>
      <c r="I593">
        <v>0.406801667893059</v>
      </c>
      <c r="J593">
        <v>0.950068280592053</v>
      </c>
      <c r="K593">
        <v>0.885680227365811</v>
      </c>
      <c r="L593">
        <v>0.873314793543316</v>
      </c>
      <c r="M593">
        <v>0.273668029335445</v>
      </c>
      <c r="N593">
        <v>0.366622457304963</v>
      </c>
    </row>
    <row r="594" spans="1:14">
      <c r="A594" t="s">
        <v>44</v>
      </c>
      <c r="B594">
        <v>2015</v>
      </c>
      <c r="C594">
        <v>0.266193957115011</v>
      </c>
      <c r="D594">
        <v>0.680438270891574</v>
      </c>
      <c r="E594">
        <v>0.181455633100698</v>
      </c>
      <c r="F594">
        <v>0.962013283710348</v>
      </c>
      <c r="G594">
        <v>0.879851290225502</v>
      </c>
      <c r="H594">
        <v>0.716410898397245</v>
      </c>
      <c r="I594">
        <v>0.416472847682119</v>
      </c>
      <c r="J594">
        <v>0.947286200029846</v>
      </c>
      <c r="K594">
        <v>0.897881695432216</v>
      </c>
      <c r="L594">
        <v>0.775394844474275</v>
      </c>
      <c r="M594">
        <v>0.404270111874141</v>
      </c>
      <c r="N594">
        <v>0.417731319690088</v>
      </c>
    </row>
    <row r="595" spans="1:14">
      <c r="A595" t="s">
        <v>44</v>
      </c>
      <c r="B595">
        <v>2016</v>
      </c>
      <c r="C595">
        <v>0.270405275779374</v>
      </c>
      <c r="D595">
        <v>0.67503825045359</v>
      </c>
      <c r="E595">
        <v>0.132602193419741</v>
      </c>
      <c r="F595">
        <v>0.96135333962524</v>
      </c>
      <c r="G595">
        <v>0.83308164443243</v>
      </c>
      <c r="H595">
        <v>0.796054655102011</v>
      </c>
      <c r="I595">
        <v>0.347024282560706</v>
      </c>
      <c r="J595">
        <v>0.943661118398317</v>
      </c>
      <c r="K595">
        <v>0.847899967233193</v>
      </c>
      <c r="L595">
        <v>0.656824863653129</v>
      </c>
      <c r="M595">
        <v>0.027610345707132</v>
      </c>
      <c r="N595">
        <v>0.256702262116842</v>
      </c>
    </row>
    <row r="596" spans="1:14">
      <c r="A596" t="s">
        <v>44</v>
      </c>
      <c r="B596">
        <v>2017</v>
      </c>
      <c r="C596">
        <v>0.206964539007093</v>
      </c>
      <c r="D596">
        <v>0.740746549560853</v>
      </c>
      <c r="E596">
        <v>0.118074348383421</v>
      </c>
      <c r="F596">
        <v>0.969390456266029</v>
      </c>
      <c r="G596">
        <v>0.824669437744821</v>
      </c>
      <c r="H596">
        <v>0.907240493670052</v>
      </c>
      <c r="I596">
        <v>0.338335099337748</v>
      </c>
      <c r="J596">
        <v>0.94006951218153</v>
      </c>
      <c r="K596">
        <v>0.817229799906659</v>
      </c>
      <c r="L596">
        <v>0.524193216855087</v>
      </c>
      <c r="M596">
        <v>0.0282178958826181</v>
      </c>
      <c r="N596">
        <v>0.248400822358816</v>
      </c>
    </row>
    <row r="597" spans="1:14">
      <c r="A597" t="s">
        <v>44</v>
      </c>
      <c r="B597">
        <v>2018</v>
      </c>
      <c r="C597">
        <v>0.1425</v>
      </c>
      <c r="D597">
        <v>0.705237731281036</v>
      </c>
      <c r="E597">
        <v>0.0876158666856573</v>
      </c>
      <c r="F597">
        <v>0.964045007648646</v>
      </c>
      <c r="G597">
        <v>0.811522427591133</v>
      </c>
      <c r="H597">
        <v>0.969819984086787</v>
      </c>
      <c r="I597">
        <v>0.281174392935982</v>
      </c>
      <c r="J597">
        <v>0.919624764741665</v>
      </c>
      <c r="K597">
        <v>0.772449983927871</v>
      </c>
      <c r="L597">
        <v>0.446631542349764</v>
      </c>
      <c r="M597">
        <v>0.0266938979673926</v>
      </c>
      <c r="N597">
        <v>0.22681450072495</v>
      </c>
    </row>
    <row r="598" spans="1:14">
      <c r="A598" t="s">
        <v>44</v>
      </c>
      <c r="B598">
        <v>2019</v>
      </c>
      <c r="C598">
        <v>0.13572291957229</v>
      </c>
      <c r="D598">
        <v>0.624187482172512</v>
      </c>
      <c r="E598">
        <v>0.0477065945022077</v>
      </c>
      <c r="F598">
        <v>0.966524246839995</v>
      </c>
      <c r="G598">
        <v>0.810795766369202</v>
      </c>
      <c r="H598">
        <v>0.931486134988386</v>
      </c>
      <c r="I598">
        <v>0.263874613686534</v>
      </c>
      <c r="J598">
        <v>0.911945013734375</v>
      </c>
      <c r="K598">
        <v>0.708041937362897</v>
      </c>
      <c r="L598">
        <v>0.437856611262714</v>
      </c>
      <c r="M598">
        <v>0.0241097977594462</v>
      </c>
      <c r="N598">
        <v>0.205813197187292</v>
      </c>
    </row>
    <row r="599" spans="1:14">
      <c r="A599" t="s">
        <v>44</v>
      </c>
      <c r="B599">
        <v>2020</v>
      </c>
      <c r="C599">
        <v>0.176990291262135</v>
      </c>
      <c r="D599">
        <v>0.564305705166914</v>
      </c>
      <c r="E599">
        <v>0.0353226036177183</v>
      </c>
      <c r="F599">
        <v>0.976598728709394</v>
      </c>
      <c r="G599">
        <v>0.80020617062959</v>
      </c>
      <c r="H599">
        <v>0.916411498434533</v>
      </c>
      <c r="I599">
        <v>0.258278145695364</v>
      </c>
      <c r="J599">
        <v>0.911483278326226</v>
      </c>
      <c r="K599">
        <v>0.65759827811362</v>
      </c>
      <c r="L599">
        <v>0.418874838017784</v>
      </c>
      <c r="M599">
        <v>0.0265005846017995</v>
      </c>
      <c r="N599">
        <v>0.198939175861649</v>
      </c>
    </row>
    <row r="600" spans="1:14">
      <c r="A600" t="s">
        <v>44</v>
      </c>
      <c r="B600">
        <v>2021</v>
      </c>
      <c r="C600">
        <v>0.0869103448275895</v>
      </c>
      <c r="D600">
        <v>0.581747176913425</v>
      </c>
      <c r="E600">
        <v>0.0320153824241561</v>
      </c>
      <c r="F600">
        <v>0.982358908687842</v>
      </c>
      <c r="G600">
        <v>0.756363680204474</v>
      </c>
      <c r="H600">
        <v>0.93962717407559</v>
      </c>
      <c r="I600">
        <v>0.245033112582781</v>
      </c>
      <c r="J600">
        <v>0.905850396037895</v>
      </c>
      <c r="K600">
        <v>0.650711023115021</v>
      </c>
      <c r="L600">
        <v>0.416401373674579</v>
      </c>
      <c r="M600">
        <v>0.00465953283995346</v>
      </c>
      <c r="N600">
        <v>0.185281566701364</v>
      </c>
    </row>
    <row r="601" spans="1:14">
      <c r="A601" t="s">
        <v>44</v>
      </c>
      <c r="B601">
        <v>2022</v>
      </c>
      <c r="C601">
        <v>0.0184294871794862</v>
      </c>
      <c r="D601">
        <v>0.608430200994112</v>
      </c>
      <c r="E601">
        <v>0.0215966386554622</v>
      </c>
      <c r="F601">
        <v>0.9817830224799</v>
      </c>
      <c r="G601">
        <v>0.766853690586492</v>
      </c>
      <c r="H601">
        <v>0.924782787520462</v>
      </c>
      <c r="I601">
        <v>0.232596247240618</v>
      </c>
      <c r="J601">
        <v>0.891221317916617</v>
      </c>
      <c r="K601">
        <v>0.65095755235478</v>
      </c>
      <c r="L601">
        <v>0.431046416511106</v>
      </c>
      <c r="M601">
        <v>0.0117032408570364</v>
      </c>
      <c r="N601">
        <v>0.182176636983279</v>
      </c>
    </row>
    <row r="602" spans="1:14">
      <c r="A602" t="s">
        <v>45</v>
      </c>
      <c r="B602">
        <v>2003</v>
      </c>
      <c r="C602">
        <v>0.930211737331954</v>
      </c>
      <c r="D602">
        <v>0.775894796476964</v>
      </c>
      <c r="E602">
        <v>0.17319868964535</v>
      </c>
      <c r="F602">
        <v>0.993829997204404</v>
      </c>
      <c r="G602">
        <v>0.839961075278479</v>
      </c>
      <c r="H602">
        <v>0.977820396585792</v>
      </c>
      <c r="I602">
        <v>0.617439293598234</v>
      </c>
      <c r="J602">
        <v>0.980204442243865</v>
      </c>
      <c r="K602">
        <v>0.985273094425472</v>
      </c>
      <c r="L602">
        <v>0.976168730133774</v>
      </c>
      <c r="M602">
        <v>0.287454159947004</v>
      </c>
      <c r="N602">
        <v>0.411147404200855</v>
      </c>
    </row>
    <row r="603" spans="1:14">
      <c r="A603" t="s">
        <v>45</v>
      </c>
      <c r="B603">
        <v>2004</v>
      </c>
      <c r="C603">
        <v>0.922415805484802</v>
      </c>
      <c r="D603">
        <v>0.705915977899804</v>
      </c>
      <c r="E603">
        <v>0.181581683520866</v>
      </c>
      <c r="F603">
        <v>0.992227545229362</v>
      </c>
      <c r="G603">
        <v>0.853924612579701</v>
      </c>
      <c r="H603">
        <v>0.981734847800229</v>
      </c>
      <c r="I603">
        <v>0.719205298013245</v>
      </c>
      <c r="J603">
        <v>0.971755118811368</v>
      </c>
      <c r="K603">
        <v>0.983934199934798</v>
      </c>
      <c r="L603">
        <v>0.976259605632995</v>
      </c>
      <c r="M603">
        <v>0.434813282630025</v>
      </c>
      <c r="N603">
        <v>0.471494394043279</v>
      </c>
    </row>
    <row r="604" spans="1:14">
      <c r="A604" t="s">
        <v>45</v>
      </c>
      <c r="B604">
        <v>2005</v>
      </c>
      <c r="C604">
        <v>0.911793795771144</v>
      </c>
      <c r="D604">
        <v>0.701997696586078</v>
      </c>
      <c r="E604">
        <v>0.15202763139154</v>
      </c>
      <c r="F604">
        <v>0.991938780065968</v>
      </c>
      <c r="G604">
        <v>0.855849758685402</v>
      </c>
      <c r="H604">
        <v>0.975844521722672</v>
      </c>
      <c r="I604">
        <v>0.719205298013245</v>
      </c>
      <c r="J604">
        <v>0.971755118811368</v>
      </c>
      <c r="K604">
        <v>0.987281228645287</v>
      </c>
      <c r="L604">
        <v>0.974543066598638</v>
      </c>
      <c r="M604">
        <v>0.437436549242547</v>
      </c>
      <c r="N604">
        <v>0.461728380803699</v>
      </c>
    </row>
    <row r="605" spans="1:14">
      <c r="A605" t="s">
        <v>45</v>
      </c>
      <c r="B605">
        <v>2006</v>
      </c>
      <c r="C605">
        <v>0.900669737642276</v>
      </c>
      <c r="D605">
        <v>0.660887168344707</v>
      </c>
      <c r="E605">
        <v>0.236433556473437</v>
      </c>
      <c r="F605">
        <v>0.992027135313219</v>
      </c>
      <c r="G605">
        <v>0.848213415685363</v>
      </c>
      <c r="H605">
        <v>0.982152938095327</v>
      </c>
      <c r="I605">
        <v>0.654525386313466</v>
      </c>
      <c r="J605">
        <v>0.965317539053276</v>
      </c>
      <c r="K605">
        <v>0.987950675890623</v>
      </c>
      <c r="L605">
        <v>0.973923287246214</v>
      </c>
      <c r="M605">
        <v>0.300983299607196</v>
      </c>
      <c r="N605">
        <v>0.43696362036123</v>
      </c>
    </row>
    <row r="606" spans="1:14">
      <c r="A606" t="s">
        <v>45</v>
      </c>
      <c r="B606">
        <v>2007</v>
      </c>
      <c r="C606">
        <v>0.887215978838504</v>
      </c>
      <c r="D606">
        <v>0.643835063169463</v>
      </c>
      <c r="E606">
        <v>0.102976783933913</v>
      </c>
      <c r="F606">
        <v>0.991058387416561</v>
      </c>
      <c r="G606">
        <v>0.823691985132946</v>
      </c>
      <c r="H606">
        <v>0.95770782465129</v>
      </c>
      <c r="I606">
        <v>0.528918322295806</v>
      </c>
      <c r="J606">
        <v>0.973042634762987</v>
      </c>
      <c r="K606">
        <v>0.984603647180135</v>
      </c>
      <c r="L606">
        <v>0.973505833988272</v>
      </c>
      <c r="M606">
        <v>0.262612119207789</v>
      </c>
      <c r="N606">
        <v>0.36586013272414</v>
      </c>
    </row>
    <row r="607" spans="1:14">
      <c r="A607" t="s">
        <v>45</v>
      </c>
      <c r="B607">
        <v>2008</v>
      </c>
      <c r="C607">
        <v>0.871402952917253</v>
      </c>
      <c r="D607">
        <v>0.649701455540397</v>
      </c>
      <c r="E607">
        <v>0.162227602905569</v>
      </c>
      <c r="F607">
        <v>0.99037680734685</v>
      </c>
      <c r="G607">
        <v>0.828695818088886</v>
      </c>
      <c r="H607">
        <v>0.919857326415361</v>
      </c>
      <c r="I607">
        <v>0.546799116997792</v>
      </c>
      <c r="J607">
        <v>0.955017411440328</v>
      </c>
      <c r="K607">
        <v>0.983294946295846</v>
      </c>
      <c r="L607">
        <v>0.964791996662612</v>
      </c>
      <c r="M607">
        <v>0.18096426683328</v>
      </c>
      <c r="N607">
        <v>0.357335716846193</v>
      </c>
    </row>
    <row r="608" spans="1:14">
      <c r="A608" t="s">
        <v>45</v>
      </c>
      <c r="B608">
        <v>2009</v>
      </c>
      <c r="C608">
        <v>0.854931547166898</v>
      </c>
      <c r="D608">
        <v>0.663700265818496</v>
      </c>
      <c r="E608">
        <v>0.15183022361487</v>
      </c>
      <c r="F608">
        <v>0.989365389929655</v>
      </c>
      <c r="G608">
        <v>0.824700652016186</v>
      </c>
      <c r="H608">
        <v>0.881218276132851</v>
      </c>
      <c r="I608">
        <v>0.497792494481236</v>
      </c>
      <c r="J608">
        <v>0.954856471946375</v>
      </c>
      <c r="K608">
        <v>0.983917494881094</v>
      </c>
      <c r="L608">
        <v>0.963186165023771</v>
      </c>
      <c r="M608">
        <v>0.178617347207837</v>
      </c>
      <c r="N608">
        <v>0.348901438684561</v>
      </c>
    </row>
    <row r="609" spans="1:14">
      <c r="A609" t="s">
        <v>45</v>
      </c>
      <c r="B609">
        <v>2010</v>
      </c>
      <c r="C609">
        <v>0.826809855072464</v>
      </c>
      <c r="D609">
        <v>0.607924561212097</v>
      </c>
      <c r="E609">
        <v>0.0598205383848455</v>
      </c>
      <c r="F609">
        <v>0.988223034161482</v>
      </c>
      <c r="G609">
        <v>0.810399915733296</v>
      </c>
      <c r="H609">
        <v>0.864658683154632</v>
      </c>
      <c r="I609">
        <v>0.487858719646799</v>
      </c>
      <c r="J609">
        <v>0.950028287127806</v>
      </c>
      <c r="K609">
        <v>0.971215532338182</v>
      </c>
      <c r="L609">
        <v>0.960281826174173</v>
      </c>
      <c r="M609">
        <v>0.164725795170223</v>
      </c>
      <c r="N609">
        <v>0.307217239743495</v>
      </c>
    </row>
    <row r="610" spans="1:14">
      <c r="A610" t="s">
        <v>45</v>
      </c>
      <c r="B610">
        <v>2011</v>
      </c>
      <c r="C610">
        <v>0.784409880749064</v>
      </c>
      <c r="D610">
        <v>0.543588210000987</v>
      </c>
      <c r="E610">
        <v>0.0542657741062527</v>
      </c>
      <c r="F610">
        <v>0.986162626339307</v>
      </c>
      <c r="G610">
        <v>0.828457066615839</v>
      </c>
      <c r="H610">
        <v>0.820499768546049</v>
      </c>
      <c r="I610">
        <v>0.396467991169978</v>
      </c>
      <c r="J610">
        <v>0.95224120516965</v>
      </c>
      <c r="K610">
        <v>0.952472047049732</v>
      </c>
      <c r="L610">
        <v>0.960260089509406</v>
      </c>
      <c r="M610">
        <v>0.217231145564925</v>
      </c>
      <c r="N610">
        <v>0.315489057135828</v>
      </c>
    </row>
    <row r="611" spans="1:14">
      <c r="A611" t="s">
        <v>45</v>
      </c>
      <c r="B611">
        <v>2012</v>
      </c>
      <c r="C611">
        <v>0.723225033288948</v>
      </c>
      <c r="D611">
        <v>0.516438760796283</v>
      </c>
      <c r="E611">
        <v>0.0484261501210655</v>
      </c>
      <c r="F611">
        <v>0.981342452544208</v>
      </c>
      <c r="G611">
        <v>0.83996064716545</v>
      </c>
      <c r="H611">
        <v>0.754261396633174</v>
      </c>
      <c r="I611">
        <v>0.337969094922737</v>
      </c>
      <c r="J611">
        <v>0.944757518700867</v>
      </c>
      <c r="K611">
        <v>0.940422722940355</v>
      </c>
      <c r="L611">
        <v>0.958394552683799</v>
      </c>
      <c r="M611">
        <v>0.208634217824958</v>
      </c>
      <c r="N611">
        <v>0.303640533212143</v>
      </c>
    </row>
    <row r="612" spans="1:14">
      <c r="A612" t="s">
        <v>45</v>
      </c>
      <c r="B612">
        <v>2013</v>
      </c>
      <c r="C612">
        <v>0.614719183078046</v>
      </c>
      <c r="D612">
        <v>0.404951177693155</v>
      </c>
      <c r="E612">
        <v>0.0517020367469021</v>
      </c>
      <c r="F612">
        <v>0.975389139905323</v>
      </c>
      <c r="G612">
        <v>0.852970796401983</v>
      </c>
      <c r="H612">
        <v>0.657269494903607</v>
      </c>
      <c r="I612">
        <v>0.345313907284768</v>
      </c>
      <c r="J612">
        <v>0.941033848217668</v>
      </c>
      <c r="K612">
        <v>0.929250016411072</v>
      </c>
      <c r="L612">
        <v>0.958023224845062</v>
      </c>
      <c r="M612">
        <v>0.20446354260404</v>
      </c>
      <c r="N612">
        <v>0.298308808128618</v>
      </c>
    </row>
    <row r="613" spans="1:14">
      <c r="A613" t="s">
        <v>45</v>
      </c>
      <c r="B613">
        <v>2014</v>
      </c>
      <c r="C613">
        <v>0.532831541218638</v>
      </c>
      <c r="D613">
        <v>0.219255372971222</v>
      </c>
      <c r="E613">
        <v>0.0445805440820395</v>
      </c>
      <c r="F613">
        <v>0.972264187679436</v>
      </c>
      <c r="G613">
        <v>0.838879686314208</v>
      </c>
      <c r="H613">
        <v>0.574471530012513</v>
      </c>
      <c r="I613">
        <v>0.303972332597499</v>
      </c>
      <c r="J613">
        <v>0.928235246724648</v>
      </c>
      <c r="K613">
        <v>0.908585011856899</v>
      </c>
      <c r="L613">
        <v>0.956981591075448</v>
      </c>
      <c r="M613">
        <v>0.298348131485509</v>
      </c>
      <c r="N613">
        <v>0.317310261977272</v>
      </c>
    </row>
    <row r="614" spans="1:14">
      <c r="A614" t="s">
        <v>45</v>
      </c>
      <c r="B614">
        <v>2015</v>
      </c>
      <c r="C614">
        <v>0.482264150943396</v>
      </c>
      <c r="D614">
        <v>0.346543806833277</v>
      </c>
      <c r="E614">
        <v>0.0337558752314486</v>
      </c>
      <c r="F614">
        <v>0.97310992981032</v>
      </c>
      <c r="G614">
        <v>0.833693081928223</v>
      </c>
      <c r="H614">
        <v>0.341060124224287</v>
      </c>
      <c r="I614">
        <v>0.36000353200883</v>
      </c>
      <c r="J614">
        <v>0.93358650725127</v>
      </c>
      <c r="K614">
        <v>0.906904603352507</v>
      </c>
      <c r="L614">
        <v>0.956203753387283</v>
      </c>
      <c r="M614">
        <v>0.336754354992133</v>
      </c>
      <c r="N614">
        <v>0.330807638197741</v>
      </c>
    </row>
    <row r="615" spans="1:14">
      <c r="A615" t="s">
        <v>45</v>
      </c>
      <c r="B615">
        <v>2016</v>
      </c>
      <c r="C615">
        <v>0.454703459637562</v>
      </c>
      <c r="D615">
        <v>0.420011352032643</v>
      </c>
      <c r="E615">
        <v>0.03005269904572</v>
      </c>
      <c r="F615">
        <v>0.971610425462094</v>
      </c>
      <c r="G615">
        <v>0.814952758454887</v>
      </c>
      <c r="H615">
        <v>0.647018318298043</v>
      </c>
      <c r="I615">
        <v>0.221289183222958</v>
      </c>
      <c r="J615">
        <v>0.902638043738607</v>
      </c>
      <c r="K615">
        <v>0.867255002748552</v>
      </c>
      <c r="L615">
        <v>0.954534900793177</v>
      </c>
      <c r="M615">
        <v>0.0793569183541663</v>
      </c>
      <c r="N615">
        <v>0.228818974347127</v>
      </c>
    </row>
    <row r="616" spans="1:14">
      <c r="A616" t="s">
        <v>45</v>
      </c>
      <c r="B616">
        <v>2017</v>
      </c>
      <c r="C616">
        <v>0.41381115591398</v>
      </c>
      <c r="D616">
        <v>0.461608931679281</v>
      </c>
      <c r="E616">
        <v>0.0239282153539383</v>
      </c>
      <c r="F616">
        <v>0.9715105913619</v>
      </c>
      <c r="G616">
        <v>0.77509758981235</v>
      </c>
      <c r="H616">
        <v>0.710891034071172</v>
      </c>
      <c r="I616">
        <v>0.183506622516556</v>
      </c>
      <c r="J616">
        <v>0.894526129955181</v>
      </c>
      <c r="K616">
        <v>0.863849350712953</v>
      </c>
      <c r="L616">
        <v>0.954200978816994</v>
      </c>
      <c r="M616">
        <v>0.0833842070039803</v>
      </c>
      <c r="N616">
        <v>0.223665486923121</v>
      </c>
    </row>
    <row r="617" spans="1:14">
      <c r="A617" t="s">
        <v>45</v>
      </c>
      <c r="B617">
        <v>2018</v>
      </c>
      <c r="C617">
        <v>0.390675925925924</v>
      </c>
      <c r="D617">
        <v>0.445172528181075</v>
      </c>
      <c r="E617">
        <v>0.0283520865973508</v>
      </c>
      <c r="F617">
        <v>0.970191863092185</v>
      </c>
      <c r="G617">
        <v>0.774501909052196</v>
      </c>
      <c r="H617">
        <v>0.722362100692798</v>
      </c>
      <c r="I617">
        <v>0.204645033112583</v>
      </c>
      <c r="J617">
        <v>0.880468145628193</v>
      </c>
      <c r="K617">
        <v>0.853737605317063</v>
      </c>
      <c r="L617">
        <v>0.949345885057023</v>
      </c>
      <c r="M617">
        <v>0.0783818140923985</v>
      </c>
      <c r="N617">
        <v>0.222757454053963</v>
      </c>
    </row>
    <row r="618" spans="1:14">
      <c r="A618" t="s">
        <v>45</v>
      </c>
      <c r="B618">
        <v>2019</v>
      </c>
      <c r="C618">
        <v>0.359304415787415</v>
      </c>
      <c r="D618">
        <v>0.452834682423292</v>
      </c>
      <c r="E618">
        <v>0.0211133741632246</v>
      </c>
      <c r="F618">
        <v>0.972483192235403</v>
      </c>
      <c r="G618">
        <v>0.769952014598751</v>
      </c>
      <c r="H618">
        <v>0.751475961908399</v>
      </c>
      <c r="I618">
        <v>0.141097130242826</v>
      </c>
      <c r="J618">
        <v>0.870307552556502</v>
      </c>
      <c r="K618">
        <v>0.70253964545028</v>
      </c>
      <c r="L618">
        <v>0.997585963365888</v>
      </c>
      <c r="M618">
        <v>0.0720816188769132</v>
      </c>
      <c r="N618">
        <v>0.209940090698835</v>
      </c>
    </row>
    <row r="619" spans="1:14">
      <c r="A619" t="s">
        <v>45</v>
      </c>
      <c r="B619">
        <v>2020</v>
      </c>
      <c r="C619">
        <v>0.315986486486485</v>
      </c>
      <c r="D619">
        <v>0.428226112158044</v>
      </c>
      <c r="E619">
        <v>0.0229312063808574</v>
      </c>
      <c r="F619">
        <v>0.974432052605246</v>
      </c>
      <c r="G619">
        <v>0.787864499333876</v>
      </c>
      <c r="H619">
        <v>0.675666011232596</v>
      </c>
      <c r="I619">
        <v>0.0618101545253862</v>
      </c>
      <c r="J619">
        <v>0.872053102307909</v>
      </c>
      <c r="K619">
        <v>0.673161992744819</v>
      </c>
      <c r="L619">
        <v>0.99746987489937</v>
      </c>
      <c r="M619">
        <v>0.0376621816683996</v>
      </c>
      <c r="N619">
        <v>0.191194194549364</v>
      </c>
    </row>
    <row r="620" spans="1:14">
      <c r="A620" t="s">
        <v>45</v>
      </c>
      <c r="B620">
        <v>2021</v>
      </c>
      <c r="C620">
        <v>0.236011329985837</v>
      </c>
      <c r="D620">
        <v>0.368060381655232</v>
      </c>
      <c r="E620">
        <v>0.017046004842615</v>
      </c>
      <c r="F620">
        <v>0.973847660622989</v>
      </c>
      <c r="G620">
        <v>0.776785940247469</v>
      </c>
      <c r="H620">
        <v>0.735608609623472</v>
      </c>
      <c r="I620">
        <v>0</v>
      </c>
      <c r="J620">
        <v>0.871650753573028</v>
      </c>
      <c r="K620">
        <v>0.642380596737721</v>
      </c>
      <c r="L620">
        <v>0.981525580928985</v>
      </c>
      <c r="M620">
        <v>0.0262154245119438</v>
      </c>
      <c r="N620">
        <v>0.176852919984133</v>
      </c>
    </row>
    <row r="621" spans="1:14">
      <c r="A621" t="s">
        <v>45</v>
      </c>
      <c r="B621">
        <v>2022</v>
      </c>
      <c r="C621">
        <v>0.23409483314006</v>
      </c>
      <c r="D621">
        <v>0.352863238836786</v>
      </c>
      <c r="E621">
        <v>0.0195128899017235</v>
      </c>
      <c r="F621">
        <v>0.973392402111978</v>
      </c>
      <c r="G621">
        <v>0.784636526827734</v>
      </c>
      <c r="H621">
        <v>0.504991648447217</v>
      </c>
      <c r="I621">
        <v>0.00350022075055175</v>
      </c>
      <c r="J621">
        <v>0.859047300157507</v>
      </c>
      <c r="K621">
        <v>0.634019146689256</v>
      </c>
      <c r="L621">
        <v>0.991123983929739</v>
      </c>
      <c r="M621">
        <v>0.02639072064482</v>
      </c>
      <c r="N621">
        <v>0.174855150090406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EPI_score</vt:lpstr>
      <vt:lpstr>Weights</vt:lpstr>
      <vt:lpstr>Normalized_Z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Wang</cp:lastModifiedBy>
  <dcterms:created xsi:type="dcterms:W3CDTF">2026-01-25T05:04:00Z</dcterms:created>
  <dcterms:modified xsi:type="dcterms:W3CDTF">2026-01-27T10:53:59Z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CB4C988EFF4F4BADBBC37A50692FFA64_12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